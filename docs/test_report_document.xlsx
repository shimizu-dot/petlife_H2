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テスト計画概要" sheetId="1" state="visible" r:id="rId3"/>
    <sheet name="テストケース一覧" sheetId="2" state="visible" r:id="rId4"/>
    <sheet name="機能別テスト項目" sheetId="3" state="visible" r:id="rId5"/>
    <sheet name="テスト環境" sheetId="4" state="visible" r:id="rId6"/>
    <sheet name="テストマトリックス" sheetId="5" state="visible" r:id="rId7"/>
    <sheet name="テスト結果サマリー" sheetId="6" state="visible" r:id="rId8"/>
  </sheets>
  <definedNames>
    <definedName function="false" hidden="true" localSheetId="1" name="_xlnm._FilterDatabase" vbProcedure="false">テストケース一覧!$A$1:$E$31</definedName>
    <definedName function="false" hidden="true" localSheetId="2" name="_xlnm._FilterDatabase" vbProcedure="false">機能別テスト項目!$A$1:$G$85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<sst xmlns="http://schemas.openxmlformats.org/spreadsheetml/2006/main" count="1196" uniqueCount="566">
  <si>
    <t xml:space="preserve">テスト計画書（Pet Life Plus）</t>
  </si>
  <si>
    <t xml:space="preserve">テスト対象範囲</t>
  </si>
  <si>
    <r>
      <rPr>
        <sz val="9"/>
        <color theme="1"/>
        <rFont val="Tahoma"/>
        <family val="2"/>
        <charset val="1"/>
      </rPr>
      <t xml:space="preserve">F-001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F-021</t>
    </r>
    <r>
      <rPr>
        <sz val="9"/>
        <color theme="1"/>
        <rFont val="游ゴシック体"/>
        <family val="2"/>
        <charset val="1"/>
      </rPr>
      <t xml:space="preserve">（ログイン、管理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体"/>
        <family val="2"/>
        <charset val="1"/>
      </rPr>
      <t xml:space="preserve">、予約、診療履歴、請求決済、通知、</t>
    </r>
    <r>
      <rPr>
        <sz val="9"/>
        <color theme="1"/>
        <rFont val="Tahoma"/>
        <family val="2"/>
        <charset val="1"/>
      </rPr>
      <t xml:space="preserve">PDF</t>
    </r>
    <r>
      <rPr>
        <sz val="9"/>
        <color theme="1"/>
        <rFont val="游ゴシック体"/>
        <family val="2"/>
        <charset val="1"/>
      </rPr>
      <t xml:space="preserve">、アップロード、メール）</t>
    </r>
  </si>
  <si>
    <t xml:space="preserve">テスト種別</t>
  </si>
  <si>
    <t xml:space="preserve">機能テスト / 画面テスト / セキュリティテスト</t>
  </si>
  <si>
    <t xml:space="preserve">テスト環境（ブラウザ）</t>
  </si>
  <si>
    <t xml:space="preserve">Chrome, Edge, Firefox, Safari(iOS)</t>
  </si>
  <si>
    <t xml:space="preserve">テスト環境（OS）</t>
  </si>
  <si>
    <t xml:space="preserve">Windows 11, macOS 14, iOS 18, Android 15</t>
  </si>
  <si>
    <t xml:space="preserve">テスト期間</t>
  </si>
  <si>
    <r>
      <rPr>
        <sz val="9"/>
        <color theme="1"/>
        <rFont val="Tahoma"/>
        <family val="2"/>
        <charset val="1"/>
      </rPr>
      <t xml:space="preserve">2026-05-18 </t>
    </r>
    <r>
      <rPr>
        <sz val="9"/>
        <color theme="1"/>
        <rFont val="游ゴシック体"/>
        <family val="2"/>
        <charset val="1"/>
      </rPr>
      <t xml:space="preserve">～ </t>
    </r>
    <r>
      <rPr>
        <sz val="9"/>
        <color theme="1"/>
        <rFont val="Tahoma"/>
        <family val="2"/>
        <charset val="1"/>
      </rPr>
      <t xml:space="preserve">2026-06-29</t>
    </r>
    <r>
      <rPr>
        <sz val="9"/>
        <color theme="1"/>
        <rFont val="游ゴシック体"/>
        <family val="2"/>
        <charset val="1"/>
      </rPr>
      <t xml:space="preserve">（予備日 </t>
    </r>
    <r>
      <rPr>
        <sz val="9"/>
        <color theme="1"/>
        <rFont val="Tahoma"/>
        <family val="2"/>
        <charset val="1"/>
      </rPr>
      <t xml:space="preserve">2026-06-30</t>
    </r>
    <r>
      <rPr>
        <sz val="9"/>
        <color theme="1"/>
        <rFont val="游ゴシック体"/>
        <family val="2"/>
        <charset val="1"/>
      </rPr>
      <t xml:space="preserve">）</t>
    </r>
  </si>
  <si>
    <t xml:space="preserve">完了判定</t>
  </si>
  <si>
    <t xml:space="preserve">重大不具合(高) 0件、実行率100%、合格率95%以上</t>
  </si>
  <si>
    <t xml:space="preserve">ID</t>
  </si>
  <si>
    <t xml:space="preserve">対象機能</t>
  </si>
  <si>
    <t xml:space="preserve">テスト内容</t>
  </si>
  <si>
    <t xml:space="preserve">期待結果</t>
  </si>
  <si>
    <t xml:space="preserve">実行結果</t>
  </si>
  <si>
    <t xml:space="preserve">TC-001</t>
  </si>
  <si>
    <r>
      <rPr>
        <sz val="8"/>
        <rFont val="Microsoft Sans Serif"/>
        <family val="2"/>
        <charset val="1"/>
      </rPr>
      <t xml:space="preserve">F-001 </t>
    </r>
    <r>
      <rPr>
        <sz val="8"/>
        <rFont val="游ゴシック体"/>
        <family val="2"/>
        <charset val="1"/>
      </rPr>
      <t xml:space="preserve">ログイン認証</t>
    </r>
  </si>
  <si>
    <t xml:space="preserve">正常系</t>
  </si>
  <si>
    <t xml:space="preserve">正しいメール・パスワードでログインする</t>
  </si>
  <si>
    <t xml:space="preserve">認証成功しダッシュボードへ遷移する</t>
  </si>
  <si>
    <t xml:space="preserve">OK</t>
  </si>
  <si>
    <t xml:space="preserve">TC-002</t>
  </si>
  <si>
    <t xml:space="preserve">異常系</t>
  </si>
  <si>
    <t xml:space="preserve">パスワード誤りでログインする</t>
  </si>
  <si>
    <t xml:space="preserve">認証エラーが表示されログイン不可
メールアドレスまたはパスワードが正しくありません。</t>
  </si>
  <si>
    <t xml:space="preserve">TC-003</t>
  </si>
  <si>
    <t xml:space="preserve">未登録メールでログインする</t>
  </si>
  <si>
    <t xml:space="preserve">認証エラーが表示される
メールアドレスまたはパスワードが正しくありません。</t>
  </si>
  <si>
    <t xml:space="preserve">TC-004</t>
  </si>
  <si>
    <t xml:space="preserve">セキュリティ</t>
  </si>
  <si>
    <t xml:space="preserve">認証なしで /app/dashboard に直接アクセスする</t>
  </si>
  <si>
    <t xml:space="preserve">ログイン画面にリダイレクトされる</t>
  </si>
  <si>
    <t xml:space="preserve">TC-005</t>
  </si>
  <si>
    <r>
      <rPr>
        <sz val="8"/>
        <rFont val="Microsoft Sans Serif"/>
        <family val="2"/>
        <charset val="1"/>
      </rPr>
      <t xml:space="preserve">F-002 </t>
    </r>
    <r>
      <rPr>
        <sz val="8"/>
        <rFont val="游ゴシック体"/>
        <family val="2"/>
        <charset val="1"/>
      </rPr>
      <t xml:space="preserve">ダッシュボード</t>
    </r>
  </si>
  <si>
    <r>
      <rPr>
        <sz val="8"/>
        <rFont val="Microsoft Sans Serif"/>
        <family val="2"/>
        <charset val="1"/>
      </rPr>
      <t xml:space="preserve">ADMIN </t>
    </r>
    <r>
      <rPr>
        <sz val="8"/>
        <rFont val="游ゴシック体"/>
        <family val="2"/>
        <charset val="1"/>
      </rPr>
      <t xml:space="preserve">でログインしてダッシュボードを開く</t>
    </r>
  </si>
  <si>
    <t xml:space="preserve">管理系KPI（ユーザー数・予約数等）が表示される</t>
  </si>
  <si>
    <t xml:space="preserve">TC-006</t>
  </si>
  <si>
    <t xml:space="preserve">一般ユーザー（Light）でログインしてダッシュボードを開く</t>
  </si>
  <si>
    <t xml:space="preserve">ユーザー系KPI（自ペット・予約・通知）が表示される</t>
  </si>
  <si>
    <t xml:space="preserve">TC-007</t>
  </si>
  <si>
    <t xml:space="preserve">境界値</t>
  </si>
  <si>
    <t xml:space="preserve">ペット・予約ともに0件の状態でダッシュボードを開く</t>
  </si>
  <si>
    <r>
      <rPr>
        <sz val="8"/>
        <rFont val="Microsoft Sans Serif"/>
        <family val="2"/>
        <charset val="1"/>
      </rPr>
      <t xml:space="preserve">0</t>
    </r>
    <r>
      <rPr>
        <sz val="8"/>
        <rFont val="游ゴシック体"/>
        <family val="2"/>
        <charset val="1"/>
      </rPr>
      <t xml:space="preserve">件表示で画面崩れなく表示される</t>
    </r>
  </si>
  <si>
    <t xml:space="preserve">TC-008</t>
  </si>
  <si>
    <r>
      <rPr>
        <sz val="8"/>
        <rFont val="Microsoft Sans Serif"/>
        <family val="2"/>
        <charset val="1"/>
      </rPr>
      <t xml:space="preserve">F-003 </t>
    </r>
    <r>
      <rPr>
        <sz val="8"/>
        <rFont val="游ゴシック体"/>
        <family val="2"/>
        <charset val="1"/>
      </rPr>
      <t xml:space="preserve">ユーザー管理</t>
    </r>
  </si>
  <si>
    <t xml:space="preserve">必須項目を入力してユーザー登録する</t>
  </si>
  <si>
    <t xml:space="preserve">ユーザーが保存され一覧に反映される</t>
  </si>
  <si>
    <t xml:space="preserve">TC-009</t>
  </si>
  <si>
    <t xml:space="preserve">既存メールアドレスで登録する</t>
  </si>
  <si>
    <r>
      <rPr>
        <sz val="8"/>
        <rFont val="Microsoft Sans Serif"/>
        <family val="2"/>
        <charset val="1"/>
      </rPr>
      <t xml:space="preserve">USR-001 </t>
    </r>
    <r>
      <rPr>
        <sz val="8"/>
        <rFont val="游ゴシック体"/>
        <family val="2"/>
        <charset val="1"/>
      </rPr>
      <t xml:space="preserve">重複エラーが表示され保存されない
エラー分類</t>
    </r>
    <r>
      <rPr>
        <sz val="8"/>
        <rFont val="Microsoft Sans Serif"/>
        <family val="2"/>
        <charset val="1"/>
      </rPr>
      <t xml:space="preserve">: USR-001</t>
    </r>
    <r>
      <rPr>
        <sz val="8"/>
        <rFont val="游ゴシック体"/>
        <family val="2"/>
        <charset val="1"/>
      </rPr>
      <t xml:space="preserve">メールアドレスが重複しています。</t>
    </r>
  </si>
  <si>
    <t xml:space="preserve">TC-010</t>
  </si>
  <si>
    <t xml:space="preserve">一般ユーザーのプランを Standard に変更する</t>
  </si>
  <si>
    <t xml:space="preserve">サブスクリプションが更新され一覧に反映される</t>
  </si>
  <si>
    <t xml:space="preserve">TC-011</t>
  </si>
  <si>
    <r>
      <rPr>
        <sz val="8"/>
        <rFont val="Microsoft Sans Serif"/>
        <family val="2"/>
        <charset val="1"/>
      </rPr>
      <t xml:space="preserve">LINE ID</t>
    </r>
    <r>
      <rPr>
        <sz val="8"/>
        <rFont val="游ゴシック体"/>
        <family val="2"/>
        <charset val="1"/>
      </rPr>
      <t xml:space="preserve">・</t>
    </r>
    <r>
      <rPr>
        <sz val="8"/>
        <rFont val="Microsoft Sans Serif"/>
        <family val="2"/>
        <charset val="1"/>
      </rPr>
      <t xml:space="preserve">Slack ID </t>
    </r>
    <r>
      <rPr>
        <sz val="8"/>
        <rFont val="游ゴシック体"/>
        <family val="2"/>
        <charset val="1"/>
      </rPr>
      <t xml:space="preserve">を登録して編集フォームの連携ステータスを確認する</t>
    </r>
  </si>
  <si>
    <r>
      <rPr>
        <sz val="8"/>
        <rFont val="Microsoft Sans Serif"/>
        <family val="2"/>
        <charset val="1"/>
      </rPr>
      <t xml:space="preserve">LINE/Slack </t>
    </r>
    <r>
      <rPr>
        <sz val="8"/>
        <rFont val="游ゴシック体"/>
        <family val="2"/>
        <charset val="1"/>
      </rPr>
      <t xml:space="preserve">チップが色付きで表示される</t>
    </r>
  </si>
  <si>
    <t xml:space="preserve">TC-012</t>
  </si>
  <si>
    <r>
      <rPr>
        <sz val="8"/>
        <rFont val="Microsoft Sans Serif"/>
        <family val="2"/>
        <charset val="1"/>
      </rPr>
      <t xml:space="preserve">LINE ID </t>
    </r>
    <r>
      <rPr>
        <sz val="8"/>
        <rFont val="游ゴシック体"/>
        <family val="2"/>
        <charset val="1"/>
      </rPr>
      <t xml:space="preserve">未登録のユーザーの連携ステータスを確認する</t>
    </r>
  </si>
  <si>
    <r>
      <rPr>
        <sz val="8"/>
        <rFont val="Microsoft Sans Serif"/>
        <family val="2"/>
        <charset val="1"/>
      </rPr>
      <t xml:space="preserve">LINE </t>
    </r>
    <r>
      <rPr>
        <sz val="8"/>
        <rFont val="游ゴシック体"/>
        <family val="2"/>
        <charset val="1"/>
      </rPr>
      <t xml:space="preserve">チップがグレー表示、ツールチップに「</t>
    </r>
    <r>
      <rPr>
        <sz val="8"/>
        <rFont val="Microsoft Sans Serif"/>
        <family val="2"/>
        <charset val="1"/>
      </rPr>
      <t xml:space="preserve">ID</t>
    </r>
    <r>
      <rPr>
        <sz val="8"/>
        <rFont val="游ゴシック体"/>
        <family val="2"/>
        <charset val="1"/>
      </rPr>
      <t xml:space="preserve">未登録」と表示される</t>
    </r>
  </si>
  <si>
    <t xml:space="preserve">TC-013</t>
  </si>
  <si>
    <r>
      <rPr>
        <sz val="8"/>
        <rFont val="Microsoft Sans Serif"/>
        <family val="2"/>
        <charset val="1"/>
      </rPr>
      <t xml:space="preserve">VET </t>
    </r>
    <r>
      <rPr>
        <sz val="8"/>
        <rFont val="游ゴシック体"/>
        <family val="2"/>
        <charset val="1"/>
      </rPr>
      <t xml:space="preserve">ロールでユーザー編集フォームを開く</t>
    </r>
  </si>
  <si>
    <t xml:space="preserve">編集・削除ボタンが表示されない（閲覧のみ）</t>
  </si>
  <si>
    <t xml:space="preserve">TC-014</t>
  </si>
  <si>
    <r>
      <rPr>
        <sz val="8"/>
        <rFont val="Microsoft Sans Serif"/>
        <family val="2"/>
        <charset val="1"/>
      </rPr>
      <t xml:space="preserve">F-004 </t>
    </r>
    <r>
      <rPr>
        <sz val="8"/>
        <rFont val="游ゴシック体"/>
        <family val="2"/>
        <charset val="1"/>
      </rPr>
      <t xml:space="preserve">ペット管理</t>
    </r>
  </si>
  <si>
    <t xml:space="preserve">必須項目を入力してペットを登録する</t>
  </si>
  <si>
    <t xml:space="preserve">ペット情報が保存され一覧に表示される</t>
  </si>
  <si>
    <t xml:space="preserve">TC-015</t>
  </si>
  <si>
    <t xml:space="preserve">既存ペットの編集フォームを開く</t>
  </si>
  <si>
    <t xml:space="preserve">登録済み生年月日が日付フィールドに表示される</t>
  </si>
  <si>
    <t xml:space="preserve">TC-016</t>
  </si>
  <si>
    <t xml:space="preserve">ペット名未入力で登録する</t>
  </si>
  <si>
    <t xml:space="preserve">必須エラーが表示される
空白は許可されていません</t>
  </si>
  <si>
    <t xml:space="preserve">TC-017</t>
  </si>
  <si>
    <t xml:space="preserve">生年月日に当日を入力して登録する</t>
  </si>
  <si>
    <t xml:space="preserve">未来日でないため保存できる</t>
  </si>
  <si>
    <t xml:space="preserve">TC-018</t>
  </si>
  <si>
    <r>
      <rPr>
        <sz val="8"/>
        <rFont val="Microsoft Sans Serif"/>
        <family val="2"/>
        <charset val="1"/>
      </rPr>
      <t xml:space="preserve">F-005 </t>
    </r>
    <r>
      <rPr>
        <sz val="8"/>
        <rFont val="游ゴシック体"/>
        <family val="2"/>
        <charset val="1"/>
      </rPr>
      <t xml:space="preserve">健康記録管理</t>
    </r>
  </si>
  <si>
    <t xml:space="preserve">記録日・体重を入力して登録する</t>
  </si>
  <si>
    <t xml:space="preserve">記録が保存され時系列一覧に表示される</t>
  </si>
  <si>
    <t xml:space="preserve">TC-019</t>
  </si>
  <si>
    <t xml:space="preserve">体重に文字列を入力する</t>
  </si>
  <si>
    <t xml:space="preserve">数値形式エラーが表示される
エラー表示なし。データとして入力無効</t>
  </si>
  <si>
    <t xml:space="preserve">TC-020</t>
  </si>
  <si>
    <t xml:space="preserve">体重0.1 kg で登録する</t>
  </si>
  <si>
    <t xml:space="preserve">下限値として正常登録される</t>
  </si>
  <si>
    <t xml:space="preserve">TC-021</t>
  </si>
  <si>
    <r>
      <rPr>
        <sz val="8"/>
        <rFont val="Microsoft Sans Serif"/>
        <family val="2"/>
        <charset val="1"/>
      </rPr>
      <t xml:space="preserve">F-006 </t>
    </r>
    <r>
      <rPr>
        <sz val="8"/>
        <rFont val="游ゴシック体"/>
        <family val="2"/>
        <charset val="1"/>
      </rPr>
      <t xml:space="preserve">診療予約</t>
    </r>
  </si>
  <si>
    <r>
      <rPr>
        <sz val="8"/>
        <rFont val="Microsoft Sans Serif"/>
        <family val="2"/>
        <charset val="1"/>
      </rPr>
      <t xml:space="preserve">Standard </t>
    </r>
    <r>
      <rPr>
        <sz val="8"/>
        <rFont val="游ゴシック体"/>
        <family val="2"/>
        <charset val="1"/>
      </rPr>
      <t xml:space="preserve">以上のユーザーが未来日時で予約申請する</t>
    </r>
  </si>
  <si>
    <t xml:space="preserve">ステータス REQUESTED で保存される</t>
  </si>
  <si>
    <t xml:space="preserve">TC-022</t>
  </si>
  <si>
    <r>
      <rPr>
        <sz val="8"/>
        <rFont val="Microsoft Sans Serif"/>
        <family val="2"/>
        <charset val="1"/>
      </rPr>
      <t xml:space="preserve">STAFF </t>
    </r>
    <r>
      <rPr>
        <sz val="8"/>
        <rFont val="游ゴシック体"/>
        <family val="2"/>
        <charset val="1"/>
      </rPr>
      <t xml:space="preserve">が申請中の予約を承認する</t>
    </r>
  </si>
  <si>
    <t xml:space="preserve">ステータスが CONFIRMED になりオーナーに通知が届く</t>
  </si>
  <si>
    <t xml:space="preserve">TC-023</t>
  </si>
  <si>
    <r>
      <rPr>
        <sz val="8"/>
        <rFont val="Microsoft Sans Serif"/>
        <family val="2"/>
        <charset val="1"/>
      </rPr>
      <t xml:space="preserve">STAFF </t>
    </r>
    <r>
      <rPr>
        <sz val="8"/>
        <rFont val="游ゴシック体"/>
        <family val="2"/>
        <charset val="1"/>
      </rPr>
      <t xml:space="preserve">が承認後にカレンダーを開く</t>
    </r>
  </si>
  <si>
    <t xml:space="preserve">承認済み予約が該当日に表示される</t>
  </si>
  <si>
    <t xml:space="preserve">TC-024</t>
  </si>
  <si>
    <r>
      <rPr>
        <sz val="8"/>
        <rFont val="Microsoft Sans Serif"/>
        <family val="2"/>
        <charset val="1"/>
      </rPr>
      <t xml:space="preserve">STAFF </t>
    </r>
    <r>
      <rPr>
        <sz val="8"/>
        <rFont val="游ゴシック体"/>
        <family val="2"/>
        <charset val="1"/>
      </rPr>
      <t xml:space="preserve">が申請中の予約を却下する</t>
    </r>
  </si>
  <si>
    <t xml:space="preserve">ステータスが CANCELED になりオーナーに通知が届く</t>
  </si>
  <si>
    <t xml:space="preserve">TC-025</t>
  </si>
  <si>
    <t xml:space="preserve">過去日時で予約申請する</t>
  </si>
  <si>
    <t xml:space="preserve">「未来日時を指定してください」エラーが表示される
エラー表示なし。選択可能にならないので、問題なし</t>
  </si>
  <si>
    <t xml:space="preserve">TC-026</t>
  </si>
  <si>
    <t xml:space="preserve">診療受付時間外（17:01）で申請する</t>
  </si>
  <si>
    <t xml:space="preserve">「診療受付時間外」エラーが表示される
時間枠の選択制のため、端数指示はできない</t>
  </si>
  <si>
    <t xml:space="preserve">TC-027</t>
  </si>
  <si>
    <r>
      <rPr>
        <sz val="8"/>
        <rFont val="Microsoft Sans Serif"/>
        <family val="2"/>
        <charset val="1"/>
      </rPr>
      <t xml:space="preserve">ADMIN </t>
    </r>
    <r>
      <rPr>
        <sz val="8"/>
        <rFont val="游ゴシック体"/>
        <family val="2"/>
        <charset val="1"/>
      </rPr>
      <t xml:space="preserve">ロールで </t>
    </r>
    <r>
      <rPr>
        <sz val="8"/>
        <rFont val="Microsoft Sans Serif"/>
        <family val="2"/>
        <charset val="1"/>
      </rPr>
      <t xml:space="preserve">/app/appointments </t>
    </r>
    <r>
      <rPr>
        <sz val="8"/>
        <rFont val="游ゴシック体"/>
        <family val="2"/>
        <charset val="1"/>
      </rPr>
      <t xml:space="preserve">にアクセスする</t>
    </r>
  </si>
  <si>
    <t xml:space="preserve">アクセス拒否ページが表示される（設計通り）</t>
  </si>
  <si>
    <t xml:space="preserve">TC-028</t>
  </si>
  <si>
    <r>
      <rPr>
        <sz val="8"/>
        <rFont val="Microsoft Sans Serif"/>
        <family val="2"/>
        <charset val="1"/>
      </rPr>
      <t xml:space="preserve">F-007 </t>
    </r>
    <r>
      <rPr>
        <sz val="8"/>
        <rFont val="游ゴシック体"/>
        <family val="2"/>
        <charset val="1"/>
      </rPr>
      <t xml:space="preserve">診療記録</t>
    </r>
  </si>
  <si>
    <r>
      <rPr>
        <sz val="8"/>
        <rFont val="Microsoft Sans Serif"/>
        <family val="2"/>
        <charset val="1"/>
      </rPr>
      <t xml:space="preserve">VET </t>
    </r>
    <r>
      <rPr>
        <sz val="8"/>
        <rFont val="游ゴシック体"/>
        <family val="2"/>
        <charset val="1"/>
      </rPr>
      <t xml:space="preserve">が実施日・対応内容を入力して診療記録を登録する</t>
    </r>
  </si>
  <si>
    <t xml:space="preserve">記録が保存され一覧に表示される</t>
  </si>
  <si>
    <t xml:space="preserve">TC-029</t>
  </si>
  <si>
    <t xml:space="preserve">一般ユーザーが /app/consultations にアクセスする</t>
  </si>
  <si>
    <t xml:space="preserve">アクセス拒否ページが表示される</t>
  </si>
  <si>
    <t xml:space="preserve">TC-030</t>
  </si>
  <si>
    <r>
      <rPr>
        <sz val="8"/>
        <rFont val="Microsoft Sans Serif"/>
        <family val="2"/>
        <charset val="1"/>
      </rPr>
      <t xml:space="preserve">F-008 </t>
    </r>
    <r>
      <rPr>
        <sz val="8"/>
        <rFont val="游ゴシック体"/>
        <family val="2"/>
        <charset val="1"/>
      </rPr>
      <t xml:space="preserve">入力バリデーション</t>
    </r>
  </si>
  <si>
    <t xml:space="preserve">全必須項目を満たしてフォームを送信する</t>
  </si>
  <si>
    <t xml:space="preserve">エラーなく保存処理へ進む</t>
  </si>
  <si>
    <t xml:space="preserve">TC-031</t>
  </si>
  <si>
    <t xml:space="preserve">メール形式不正で送信する</t>
  </si>
  <si>
    <t xml:space="preserve">形式エラーが表示される</t>
  </si>
  <si>
    <t xml:space="preserve">TC-032</t>
  </si>
  <si>
    <r>
      <rPr>
        <sz val="8"/>
        <rFont val="Microsoft Sans Serif"/>
        <family val="2"/>
        <charset val="1"/>
      </rPr>
      <t xml:space="preserve">F-009 AI</t>
    </r>
    <r>
      <rPr>
        <sz val="8"/>
        <rFont val="游ゴシック体"/>
        <family val="2"/>
        <charset val="1"/>
      </rPr>
      <t xml:space="preserve">症状チェック</t>
    </r>
  </si>
  <si>
    <r>
      <rPr>
        <sz val="8"/>
        <rFont val="Microsoft Sans Serif"/>
        <family val="2"/>
        <charset val="1"/>
      </rPr>
      <t xml:space="preserve">Standard </t>
    </r>
    <r>
      <rPr>
        <sz val="8"/>
        <rFont val="游ゴシック体"/>
        <family val="2"/>
        <charset val="1"/>
      </rPr>
      <t xml:space="preserve">以上のユーザーが症状種別・発症時期を入力して実行する</t>
    </r>
  </si>
  <si>
    <t xml:space="preserve">重症度と推奨対応が表示される</t>
  </si>
  <si>
    <t xml:space="preserve">TC-033</t>
  </si>
  <si>
    <r>
      <rPr>
        <sz val="8"/>
        <rFont val="Microsoft Sans Serif"/>
        <family val="2"/>
        <charset val="1"/>
      </rPr>
      <t xml:space="preserve">Light </t>
    </r>
    <r>
      <rPr>
        <sz val="8"/>
        <rFont val="游ゴシック体"/>
        <family val="2"/>
        <charset val="1"/>
      </rPr>
      <t xml:space="preserve">プランのユーザーが症状チェックを実行する</t>
    </r>
  </si>
  <si>
    <t xml:space="preserve">ヒューリスティック（free-local）で重症度と推奨対応が表示される</t>
  </si>
  <si>
    <t xml:space="preserve">TC-034</t>
  </si>
  <si>
    <r>
      <rPr>
        <sz val="8"/>
        <rFont val="Microsoft Sans Serif"/>
        <family val="2"/>
        <charset val="1"/>
      </rPr>
      <t xml:space="preserve">F-010 </t>
    </r>
    <r>
      <rPr>
        <sz val="8"/>
        <rFont val="游ゴシック体"/>
        <family val="2"/>
        <charset val="1"/>
      </rPr>
      <t xml:space="preserve">相談チャットボット</t>
    </r>
  </si>
  <si>
    <t xml:space="preserve">非対応</t>
  </si>
  <si>
    <t xml:space="preserve">LINE AIチャットボット(β)のため実行しない</t>
  </si>
  <si>
    <t xml:space="preserve">本アプリ内ではサポートしない旨が表示される</t>
  </si>
  <si>
    <t xml:space="preserve">SKIP</t>
  </si>
  <si>
    <t xml:space="preserve">TC-035</t>
  </si>
  <si>
    <t xml:space="preserve">TC-036</t>
  </si>
  <si>
    <r>
      <rPr>
        <sz val="8"/>
        <rFont val="Microsoft Sans Serif"/>
        <family val="2"/>
        <charset val="1"/>
      </rPr>
      <t xml:space="preserve">F-011 </t>
    </r>
    <r>
      <rPr>
        <sz val="8"/>
        <rFont val="游ゴシック体"/>
        <family val="2"/>
        <charset val="1"/>
      </rPr>
      <t xml:space="preserve">カレンダー</t>
    </r>
  </si>
  <si>
    <t xml:space="preserve">月次カレンダーを表示する</t>
  </si>
  <si>
    <t xml:space="preserve">当月のすべての日付・手動シール・自動シールが表示される</t>
  </si>
  <si>
    <t xml:space="preserve">TC-037</t>
  </si>
  <si>
    <t xml:space="preserve">同一ペット・同日に「診察」と「注射」の2種シールを追加する</t>
  </si>
  <si>
    <t xml:space="preserve">両方のシールが表示される</t>
  </si>
  <si>
    <t xml:space="preserve">TC-038</t>
  </si>
  <si>
    <t xml:space="preserve">同一ペット・同日・同種別のシールを重複追加する</t>
  </si>
  <si>
    <t xml:space="preserve">「同じ日に同じ種類のシールがすでに貼られています」エラーが表示される</t>
  </si>
  <si>
    <t xml:space="preserve">TC-039</t>
  </si>
  <si>
    <r>
      <rPr>
        <sz val="8"/>
        <rFont val="Microsoft Sans Serif"/>
        <family val="2"/>
        <charset val="1"/>
      </rPr>
      <t xml:space="preserve">VET </t>
    </r>
    <r>
      <rPr>
        <sz val="8"/>
        <rFont val="游ゴシック体"/>
        <family val="2"/>
        <charset val="1"/>
      </rPr>
      <t xml:space="preserve">ロールでカレンダーを開く</t>
    </r>
  </si>
  <si>
    <t xml:space="preserve">全ユーザーの確定済み予約がサイドバーに表示される</t>
  </si>
  <si>
    <t xml:space="preserve">TC-040</t>
  </si>
  <si>
    <r>
      <rPr>
        <sz val="8"/>
        <rFont val="Microsoft Sans Serif"/>
        <family val="2"/>
        <charset val="1"/>
      </rPr>
      <t xml:space="preserve">F-012 </t>
    </r>
    <r>
      <rPr>
        <sz val="8"/>
        <rFont val="游ゴシック体"/>
        <family val="2"/>
        <charset val="1"/>
      </rPr>
      <t xml:space="preserve">通知・リマインダー</t>
    </r>
  </si>
  <si>
    <t xml:space="preserve">予約が承認された後に通知一覧を開く</t>
  </si>
  <si>
    <t xml:space="preserve">承認通知が未読として表示される</t>
  </si>
  <si>
    <t xml:space="preserve">TC-041</t>
  </si>
  <si>
    <t xml:space="preserve">通知を既読にする</t>
  </si>
  <si>
    <t xml:space="preserve">既読ステータスに変わり未読バッジが減る</t>
  </si>
  <si>
    <t xml:space="preserve">TC-042</t>
  </si>
  <si>
    <r>
      <rPr>
        <sz val="8"/>
        <rFont val="Microsoft Sans Serif"/>
        <family val="2"/>
        <charset val="1"/>
      </rPr>
      <t xml:space="preserve">F-013 </t>
    </r>
    <r>
      <rPr>
        <sz val="8"/>
        <rFont val="游ゴシック体"/>
        <family val="2"/>
        <charset val="1"/>
      </rPr>
      <t xml:space="preserve">サブスクリプション</t>
    </r>
  </si>
  <si>
    <t xml:space="preserve">一般ユーザーでサブスクリプション画面を開く</t>
  </si>
  <si>
    <t xml:space="preserve">現在の契約プランが表示される</t>
  </si>
  <si>
    <t xml:space="preserve">TC-043</t>
  </si>
  <si>
    <r>
      <rPr>
        <sz val="8"/>
        <rFont val="Microsoft Sans Serif"/>
        <family val="2"/>
        <charset val="1"/>
      </rPr>
      <t xml:space="preserve">F-014 </t>
    </r>
    <r>
      <rPr>
        <sz val="8"/>
        <rFont val="游ゴシック体"/>
        <family val="2"/>
        <charset val="1"/>
      </rPr>
      <t xml:space="preserve">パスワード変更</t>
    </r>
  </si>
  <si>
    <t xml:space="preserve">現在パスワードを正しく入力して変更する</t>
  </si>
  <si>
    <t xml:space="preserve">パスワードが更新されログイン可能</t>
  </si>
  <si>
    <t xml:space="preserve">TC-044</t>
  </si>
  <si>
    <t xml:space="preserve">現在パスワードを誤って入力して変更する</t>
  </si>
  <si>
    <t xml:space="preserve">認証エラーが表示され変更されない
現在のパスワードが正しくありません</t>
  </si>
  <si>
    <t xml:space="preserve">TC-045</t>
  </si>
  <si>
    <t xml:space="preserve">F-015 LINE Bot</t>
  </si>
  <si>
    <r>
      <rPr>
        <sz val="8"/>
        <rFont val="Microsoft Sans Serif"/>
        <family val="2"/>
        <charset val="1"/>
      </rPr>
      <t xml:space="preserve">LINE </t>
    </r>
    <r>
      <rPr>
        <sz val="8"/>
        <rFont val="游ゴシック体"/>
        <family val="2"/>
        <charset val="1"/>
      </rPr>
      <t xml:space="preserve">で </t>
    </r>
    <r>
      <rPr>
        <sz val="8"/>
        <rFont val="Microsoft Sans Serif"/>
        <family val="2"/>
        <charset val="1"/>
      </rPr>
      <t xml:space="preserve">Bot </t>
    </r>
    <r>
      <rPr>
        <sz val="8"/>
        <rFont val="游ゴシック体"/>
        <family val="2"/>
        <charset val="1"/>
      </rPr>
      <t xml:space="preserve">を友達追加する</t>
    </r>
  </si>
  <si>
    <t xml:space="preserve">ウェルカムメッセージが自動返信される</t>
  </si>
  <si>
    <t xml:space="preserve">TC-046</t>
  </si>
  <si>
    <r>
      <rPr>
        <sz val="8"/>
        <rFont val="Microsoft Sans Serif"/>
        <family val="2"/>
        <charset val="1"/>
      </rPr>
      <t xml:space="preserve">LINE Bot </t>
    </r>
    <r>
      <rPr>
        <sz val="8"/>
        <rFont val="游ゴシック体"/>
        <family val="2"/>
        <charset val="1"/>
      </rPr>
      <t xml:space="preserve">に症状メッセージを送信する</t>
    </r>
  </si>
  <si>
    <t xml:space="preserve">キーワードに応じた返答が届く</t>
  </si>
  <si>
    <t xml:space="preserve">TC-047</t>
  </si>
  <si>
    <t xml:space="preserve">F-015 LINE Broadcast</t>
  </si>
  <si>
    <r>
      <rPr>
        <sz val="8"/>
        <rFont val="Microsoft Sans Serif"/>
        <family val="2"/>
        <charset val="1"/>
      </rPr>
      <t xml:space="preserve">ADMIN </t>
    </r>
    <r>
      <rPr>
        <sz val="8"/>
        <rFont val="游ゴシック体"/>
        <family val="2"/>
        <charset val="1"/>
      </rPr>
      <t xml:space="preserve">が </t>
    </r>
    <r>
      <rPr>
        <sz val="8"/>
        <rFont val="Microsoft Sans Serif"/>
        <family val="2"/>
        <charset val="1"/>
      </rPr>
      <t xml:space="preserve">LINE </t>
    </r>
    <r>
      <rPr>
        <sz val="8"/>
        <rFont val="游ゴシック体"/>
        <family val="2"/>
        <charset val="1"/>
      </rPr>
      <t xml:space="preserve">一斉送信フォームからメッセージを送信する</t>
    </r>
  </si>
  <si>
    <r>
      <rPr>
        <sz val="8"/>
        <rFont val="Microsoft Sans Serif"/>
        <family val="2"/>
        <charset val="1"/>
      </rPr>
      <t xml:space="preserve">Bot </t>
    </r>
    <r>
      <rPr>
        <sz val="8"/>
        <rFont val="游ゴシック体"/>
        <family val="2"/>
        <charset val="1"/>
      </rPr>
      <t xml:space="preserve">フォロワー全員にメッセージが届く</t>
    </r>
  </si>
  <si>
    <t xml:space="preserve">TC-048</t>
  </si>
  <si>
    <r>
      <rPr>
        <sz val="8"/>
        <rFont val="Microsoft Sans Serif"/>
        <family val="2"/>
        <charset val="1"/>
      </rPr>
      <t xml:space="preserve">LINE_CHANNEL_TOKEN </t>
    </r>
    <r>
      <rPr>
        <sz val="8"/>
        <rFont val="游ゴシック体"/>
        <family val="2"/>
        <charset val="1"/>
      </rPr>
      <t xml:space="preserve">未設定の状態で一斉送信画面を開く</t>
    </r>
  </si>
  <si>
    <t xml:space="preserve">「チャンネルトークンが設定されていません」警告が表示され送信ボタンが無効になる</t>
  </si>
  <si>
    <t xml:space="preserve">TC-049</t>
  </si>
  <si>
    <t xml:space="preserve">F-016 Slack Bot</t>
  </si>
  <si>
    <r>
      <rPr>
        <sz val="8"/>
        <rFont val="Microsoft Sans Serif"/>
        <family val="2"/>
        <charset val="1"/>
      </rPr>
      <t xml:space="preserve">Slack </t>
    </r>
    <r>
      <rPr>
        <sz val="8"/>
        <rFont val="游ゴシック体"/>
        <family val="2"/>
        <charset val="1"/>
      </rPr>
      <t xml:space="preserve">の </t>
    </r>
    <r>
      <rPr>
        <sz val="8"/>
        <rFont val="Microsoft Sans Serif"/>
        <family val="2"/>
        <charset val="1"/>
      </rPr>
      <t xml:space="preserve">DM </t>
    </r>
    <r>
      <rPr>
        <sz val="8"/>
        <rFont val="游ゴシック体"/>
        <family val="2"/>
        <charset val="1"/>
      </rPr>
      <t xml:space="preserve">で </t>
    </r>
    <r>
      <rPr>
        <sz val="8"/>
        <rFont val="Microsoft Sans Serif"/>
        <family val="2"/>
        <charset val="1"/>
      </rPr>
      <t xml:space="preserve">Bot </t>
    </r>
    <r>
      <rPr>
        <sz val="8"/>
        <rFont val="游ゴシック体"/>
        <family val="2"/>
        <charset val="1"/>
      </rPr>
      <t xml:space="preserve">に症状メッセージを送信する</t>
    </r>
  </si>
  <si>
    <t xml:space="preserve">緊急度に応じた返答が届く</t>
  </si>
  <si>
    <t xml:space="preserve">TC-050</t>
  </si>
  <si>
    <r>
      <rPr>
        <sz val="8"/>
        <rFont val="Microsoft Sans Serif"/>
        <family val="2"/>
        <charset val="1"/>
      </rPr>
      <t xml:space="preserve">F-017 Zoom </t>
    </r>
    <r>
      <rPr>
        <sz val="8"/>
        <rFont val="游ゴシック体"/>
        <family val="2"/>
        <charset val="1"/>
      </rPr>
      <t xml:space="preserve">オンライン診療</t>
    </r>
  </si>
  <si>
    <r>
      <rPr>
        <sz val="8"/>
        <rFont val="Microsoft Sans Serif"/>
        <family val="2"/>
        <charset val="1"/>
      </rPr>
      <t xml:space="preserve">Premium </t>
    </r>
    <r>
      <rPr>
        <sz val="8"/>
        <rFont val="游ゴシック体"/>
        <family val="2"/>
        <charset val="1"/>
      </rPr>
      <t xml:space="preserve">ユーザーがオンライン診療を予約する</t>
    </r>
  </si>
  <si>
    <t xml:space="preserve">予約が登録され承認後に Zoom リンクが通知される</t>
  </si>
  <si>
    <t xml:space="preserve">TC-051</t>
  </si>
  <si>
    <r>
      <rPr>
        <sz val="8"/>
        <rFont val="Tahoma"/>
        <family val="2"/>
        <charset val="1"/>
      </rPr>
      <t xml:space="preserve">Standard </t>
    </r>
    <r>
      <rPr>
        <sz val="8"/>
        <rFont val="游ゴシック体"/>
        <family val="2"/>
        <charset val="1"/>
      </rPr>
      <t xml:space="preserve">ユーザーが </t>
    </r>
    <r>
      <rPr>
        <sz val="8"/>
        <rFont val="Tahoma"/>
        <family val="2"/>
        <charset val="1"/>
      </rPr>
      <t xml:space="preserve">/app/premium/online-care </t>
    </r>
    <r>
      <rPr>
        <sz val="8"/>
        <rFont val="游ゴシック体"/>
        <family val="2"/>
        <charset val="1"/>
      </rPr>
      <t xml:space="preserve">にアクセスする</t>
    </r>
  </si>
  <si>
    <t xml:space="preserve">TC-052</t>
  </si>
  <si>
    <r>
      <rPr>
        <sz val="8"/>
        <rFont val="Microsoft Sans Serif"/>
        <family val="2"/>
        <charset val="1"/>
      </rPr>
      <t xml:space="preserve">F-018 </t>
    </r>
    <r>
      <rPr>
        <sz val="8"/>
        <rFont val="游ゴシック体"/>
        <family val="2"/>
        <charset val="1"/>
      </rPr>
      <t xml:space="preserve">予約枠管理</t>
    </r>
  </si>
  <si>
    <r>
      <rPr>
        <sz val="8"/>
        <rFont val="Microsoft Sans Serif"/>
        <family val="2"/>
        <charset val="1"/>
      </rPr>
      <t xml:space="preserve">ADMIN </t>
    </r>
    <r>
      <rPr>
        <sz val="8"/>
        <rFont val="游ゴシック体"/>
        <family val="2"/>
        <charset val="1"/>
      </rPr>
      <t xml:space="preserve">が予約枠を登録する</t>
    </r>
  </si>
  <si>
    <t xml:space="preserve">予約枠が保存され一般ユーザーのカレンダーに「空き」が表示される</t>
  </si>
  <si>
    <t xml:space="preserve">TC-053</t>
  </si>
  <si>
    <r>
      <rPr>
        <sz val="8"/>
        <rFont val="Microsoft Sans Serif"/>
        <family val="2"/>
        <charset val="1"/>
      </rPr>
      <t xml:space="preserve">VET </t>
    </r>
    <r>
      <rPr>
        <sz val="8"/>
        <rFont val="游ゴシック体"/>
        <family val="2"/>
        <charset val="1"/>
      </rPr>
      <t xml:space="preserve">ロールで </t>
    </r>
    <r>
      <rPr>
        <sz val="8"/>
        <rFont val="Microsoft Sans Serif"/>
        <family val="2"/>
        <charset val="1"/>
      </rPr>
      <t xml:space="preserve">/app/admin/appointment-slots </t>
    </r>
    <r>
      <rPr>
        <sz val="8"/>
        <rFont val="游ゴシック体"/>
        <family val="2"/>
        <charset val="1"/>
      </rPr>
      <t xml:space="preserve">にアクセスする</t>
    </r>
  </si>
  <si>
    <t xml:space="preserve">TC-054</t>
  </si>
  <si>
    <r>
      <rPr>
        <sz val="8"/>
        <rFont val="Microsoft Sans Serif"/>
        <family val="2"/>
        <charset val="1"/>
      </rPr>
      <t xml:space="preserve">F-019 </t>
    </r>
    <r>
      <rPr>
        <sz val="8"/>
        <rFont val="游ゴシック体"/>
        <family val="2"/>
        <charset val="1"/>
      </rPr>
      <t xml:space="preserve">お知らせ管理</t>
    </r>
  </si>
  <si>
    <r>
      <rPr>
        <sz val="8"/>
        <rFont val="Microsoft Sans Serif"/>
        <family val="2"/>
        <charset val="1"/>
      </rPr>
      <t xml:space="preserve">ADMIN </t>
    </r>
    <r>
      <rPr>
        <sz val="8"/>
        <rFont val="游ゴシック体"/>
        <family val="2"/>
        <charset val="1"/>
      </rPr>
      <t xml:space="preserve">がお知らせを作成・公開する</t>
    </r>
  </si>
  <si>
    <t xml:space="preserve">お知らせが保存され一般ユーザーのダッシュボードに表示される</t>
  </si>
  <si>
    <t xml:space="preserve">TC-055</t>
  </si>
  <si>
    <r>
      <rPr>
        <sz val="8"/>
        <rFont val="Microsoft Sans Serif"/>
        <family val="2"/>
        <charset val="1"/>
      </rPr>
      <t xml:space="preserve">F-021 </t>
    </r>
    <r>
      <rPr>
        <sz val="8"/>
        <rFont val="游ゴシック体"/>
        <family val="2"/>
        <charset val="1"/>
      </rPr>
      <t xml:space="preserve">サービス統計</t>
    </r>
  </si>
  <si>
    <r>
      <rPr>
        <sz val="8"/>
        <rFont val="Microsoft Sans Serif"/>
        <family val="2"/>
        <charset val="1"/>
      </rPr>
      <t xml:space="preserve">ADMIN </t>
    </r>
    <r>
      <rPr>
        <sz val="8"/>
        <rFont val="游ゴシック体"/>
        <family val="2"/>
        <charset val="1"/>
      </rPr>
      <t xml:space="preserve">でサービス統計ページを開く</t>
    </r>
  </si>
  <si>
    <t xml:space="preserve">ユーザー数・ペット数・予約数等の集計値が表示される</t>
  </si>
  <si>
    <t xml:space="preserve">機能ID</t>
  </si>
  <si>
    <t xml:space="preserve">機能名</t>
  </si>
  <si>
    <t xml:space="preserve">テスト観点</t>
  </si>
  <si>
    <t xml:space="preserve">備考（制約・前提）</t>
  </si>
  <si>
    <t xml:space="preserve">テスト手法・手順</t>
  </si>
  <si>
    <t xml:space="preserve">テスト結果</t>
  </si>
  <si>
    <t xml:space="preserve">
F-001</t>
  </si>
  <si>
    <t xml:space="preserve">
ログイン認証</t>
  </si>
  <si>
    <t xml:space="preserve">
BCrypt 認証・Spring Security form login</t>
  </si>
  <si>
    <t xml:space="preserve">正常系: 有効なメール/パスワードでログインし、ダッシュボードへ遷移する。</t>
  </si>
  <si>
    <t xml:space="preserve">異常系: 誤PW、未登録メール、空欄送信で同一エラーと画面維持を確認する。</t>
  </si>
  <si>
    <t xml:space="preserve">境界値: 連続失敗の閾値付近、長文入力、大小文字違いで判定を確認する。</t>
  </si>
  <si>
    <t xml:space="preserve">セキュリティ: `/app/dashboard` 直打ち、CSRF 無効POST、セッション固定化後の再認証不可を確認する。</t>
  </si>
  <si>
    <t xml:space="preserve">
F-002</t>
  </si>
  <si>
    <t xml:space="preserve">
ダッシュボード</t>
  </si>
  <si>
    <t xml:space="preserve">
ロール別KPI表示（ADMIN/VET/STAFF/USER）</t>
  </si>
  <si>
    <t xml:space="preserve">正常系: ロール別KPIを表示し、値と遷移先が一致することを確認する。</t>
  </si>
  <si>
    <t xml:space="preserve">異常系: 権限外ロールや集計0件でも、例外や空白画面にならないことを確認する。</t>
  </si>
  <si>
    <t xml:space="preserve">境界値: 0件/1件/最大件数でKPI数値とレイアウト崩れを確認する。</t>
  </si>
  <si>
    <t xml:space="preserve">セキュリティ: 直URLで他ロール集計が見えず、未認可データが出ないことを確認する。</t>
  </si>
  <si>
    <t xml:space="preserve">
F-003</t>
  </si>
  <si>
    <t xml:space="preserve">
ユーザー管理</t>
  </si>
  <si>
    <t xml:space="preserve">
CRUD・プラン変更・連携ステータスアイコン</t>
  </si>
  <si>
    <t xml:space="preserve">正常系: ユーザーの新規作成/編集/削除とプラン変更を保存し、一覧反映を確認する。</t>
  </si>
  <si>
    <t xml:space="preserve">異常系: 重複メール、無効ロール、必須欠落で保存失敗とエラー表示を確認する。</t>
  </si>
  <si>
    <t xml:space="preserve">境界値: 長い氏名/メール、プラン変更境界、最大件数表示を確認する。</t>
  </si>
  <si>
    <t xml:space="preserve">セキュリティ: 管理者以外のURL直打ち、ID改ざん、CSRF 無効POST を拒否する。</t>
  </si>
  <si>
    <t xml:space="preserve">
F-004</t>
  </si>
  <si>
    <t xml:space="preserve">
ペット管理</t>
  </si>
  <si>
    <t xml:space="preserve">
CRUD・生年月日バリデーション</t>
  </si>
  <si>
    <t xml:space="preserve">正常系: ペットの登録/更新/削除と飼い主紐付けを行い、一覧反映を確認する。</t>
  </si>
  <si>
    <t xml:space="preserve">異常系: 未来日、生年月日未入力、存在しないIDで登録失敗を確認する。</t>
  </si>
  <si>
    <t xml:space="preserve">境界値: 生年月日の最小/最大、当日、生後0日で年齢表示を確認する。</t>
  </si>
  <si>
    <t xml:space="preserve">セキュリティ: 他人のペットID直打ちで編集できないことを確認する。</t>
  </si>
  <si>
    <t xml:space="preserve">
F-005</t>
  </si>
  <si>
    <t xml:space="preserve">
健康記録管理</t>
  </si>
  <si>
    <t xml:space="preserve">
体重・記録日 CRUD・ソフトデリート</t>
  </si>
  <si>
    <t xml:space="preserve">正常系: 体重・記録日を登録/更新/削除し、ソフトデリート後の表示を確認する。</t>
  </si>
  <si>
    <t xml:space="preserve">異常系: 体重未入力、負数、文字列、記録日未入力で保存失敗を確認する。</t>
  </si>
  <si>
    <t xml:space="preserve">境界値: 体重0.0/最大桁数、記録日の当日/過去最大範囲で判定を確認する。</t>
  </si>
  <si>
    <t xml:space="preserve">Ok</t>
  </si>
  <si>
    <t xml:space="preserve">セキュリティ: 他ペットID直打ちと復元操作の権限制御を確認する。</t>
  </si>
  <si>
    <t xml:space="preserve">
F-006</t>
  </si>
  <si>
    <t xml:space="preserve">
診療予約</t>
  </si>
  <si>
    <t xml:space="preserve">
申請/承認/却下（スタッフ）・キャンセル（オーナー）・時間バリデーション</t>
  </si>
  <si>
    <t xml:space="preserve">正常系: 予約申請、承認/却下、オーナー取消の一連を実行し状態遷移を確認する。</t>
  </si>
  <si>
    <t xml:space="preserve">異常系: 空き枠なし、過去日時、二重申請でエラーと重複防止を確認する。</t>
  </si>
  <si>
    <t xml:space="preserve">境界値: 予約開始/終了の境界、同時刻申請、キャンセル期限ぎりぎりの可否を確認する。</t>
  </si>
  <si>
    <t xml:space="preserve">セキュリティ: スタッフ以外の承認/却下、他人予約操作、CSRF 無効POST を拒否する。</t>
  </si>
  <si>
    <t xml:space="preserve">
F-007</t>
  </si>
  <si>
    <t xml:space="preserve">
診療記録</t>
  </si>
  <si>
    <t xml:space="preserve">
SUPER/VET/STAFF のみ CRUD</t>
  </si>
  <si>
    <t xml:space="preserve">正常系: SUPER/VET/STAFF で診療記録を CRUD し、一覧と詳細が更新されることを確認する。</t>
  </si>
  <si>
    <t xml:space="preserve">異常系: 権限不足ロールで CRUD し、操作不可とメッセージ表示を確認する。</t>
  </si>
  <si>
    <t xml:space="preserve">境界値: 診療メモの長文、数値項目の上限で保存可否を確認する。</t>
  </si>
  <si>
    <t xml:space="preserve">セキュリティ: SUPER/VET/STAFF 以外のURL直打ち、ID改ざん、CSRF 無効POST で403を確認する。</t>
  </si>
  <si>
    <t xml:space="preserve">
F-008</t>
  </si>
  <si>
    <t xml:space="preserve">
入力バリデーション</t>
  </si>
  <si>
    <t xml:space="preserve">
必須・メール形式・数値・日付 チェック</t>
  </si>
  <si>
    <t xml:space="preserve">正常系: 必須、メール形式、数値、日付の正しい入力で保存できることを確認する。</t>
  </si>
  <si>
    <t xml:space="preserve">異常系: 必須未入力、メール形式不正、数値欄の文字列でエラー表示を確認する。</t>
  </si>
  <si>
    <t xml:space="preserve">境界値: 文字数上限、数値の最小/最大、日付の前日/当日/未来日で判定を確認する。</t>
  </si>
  <si>
    <t xml:space="preserve">セキュリティ: 不正入力でも HTML/SQL/JS が表示に露出しないことを確認する。</t>
  </si>
  <si>
    <t xml:space="preserve">
F-009</t>
  </si>
  <si>
    <t xml:space="preserve">
AI症状チェック</t>
  </si>
  <si>
    <t xml:space="preserve">
OpenAI 呼び出し / フォールバック（Light は free-local）</t>
  </si>
  <si>
    <t xml:space="preserve">正常系: OpenAI 呼び出しまたは Light の free-local 返却で結果が表示されることを確認する。</t>
  </si>
  <si>
    <t xml:space="preserve">異常系: OpenAI 失敗時に free-local へフォールバックし、例外メッセージを非表示にする。</t>
  </si>
  <si>
    <t xml:space="preserve">境界値: 症状入力の最小/最大文字数と連続送信でタイムアウトや切れを確認する。</t>
  </si>
  <si>
    <t xml:space="preserve">セキュリティ: APIキー非表示、プロンプト注入でも機密情報が返らないことを確認する。</t>
  </si>
  <si>
    <t xml:space="preserve">
F-010</t>
  </si>
  <si>
    <t xml:space="preserve">
相談チャットボット（本アプリ内では非対応）</t>
  </si>
  <si>
    <t xml:space="preserve">
LINE AIチャットボット(β)は月額3,000円のため本アプリ内では未サポート</t>
  </si>
  <si>
    <t xml:space="preserve">利用可否は外部サービス契約に依存</t>
  </si>
  <si>
    <t xml:space="preserve">正常系: 非対応案内が表示され、チャット本体へ遷移しないことを確認する。</t>
  </si>
  <si>
    <t xml:space="preserve">skip</t>
  </si>
  <si>
    <t xml:space="preserve">異常系: 想定外入力でも画面崩れや例外が出ないことを確認する。</t>
  </si>
  <si>
    <t xml:space="preserve">境界値: 長文、改行、絵文字を入れても表示と導線が崩れないことを確認する。</t>
  </si>
  <si>
    <t xml:space="preserve">セキュリティ: 未認証直アクセスやURL直打ちでも情報が露出しないことを確認する。</t>
  </si>
  <si>
    <t xml:space="preserve">
F-011</t>
  </si>
  <si>
    <t xml:space="preserve">
カレンダー</t>
  </si>
  <si>
    <t xml:space="preserve">
手動シール・自動シール・VET/STAFF サイドバー</t>
  </si>
  <si>
    <t xml:space="preserve">正常系: 手動シールと自動シールを登録し、VET/STAFF サイドバー表示を確認する。</t>
  </si>
  <si>
    <t xml:space="preserve">異常系: 重複シール、対象外日付で登録失敗とエラー表示を確認する。</t>
  </si>
  <si>
    <t xml:space="preserve">境界値: 月末/月初、年跨ぎ、連続シール数の上限で表示を確認する。</t>
  </si>
  <si>
    <t xml:space="preserve">セキュリティ: 権限外ユーザーの編集不可と URL 直打ちでの操作拒否を確認する。</t>
  </si>
  <si>
    <t xml:space="preserve">
F-012</t>
  </si>
  <si>
    <t xml:space="preserve">
通知・リマインダー</t>
  </si>
  <si>
    <t xml:space="preserve">
通知一覧・既読処理・スケジュールリマインダー</t>
  </si>
  <si>
    <t xml:space="preserve">正常系: 通知一覧の表示、既読更新、スケジュールリマインダー送信を確認する。</t>
  </si>
  <si>
    <t xml:space="preserve">異常系: 既読済み再操作、存在しない通知IDでエラーを確認する。</t>
  </si>
  <si>
    <t xml:space="preserve">境界値: 0件一覧、未読多数、長文通知で表示崩れを確認する。</t>
  </si>
  <si>
    <t xml:space="preserve">セキュリティ: 他ユーザー通知のID直打ちで参照/既読化できないことを確認する。</t>
  </si>
  <si>
    <t xml:space="preserve">
F-013</t>
  </si>
  <si>
    <t xml:space="preserve">
サブスクリプション</t>
  </si>
  <si>
    <t xml:space="preserve">
契約プラン確認（USER / ADMIN全件）</t>
  </si>
  <si>
    <t xml:space="preserve">正常系: 契約プランを表示し、ADMIN で全件確認できることを確認する。</t>
  </si>
  <si>
    <t xml:space="preserve">異常系: 無効プラン、期限切れ、未契約でも表示が崩れないことを確認する。</t>
  </si>
  <si>
    <t xml:space="preserve">境界値: 契約開始日/終了日の当日境界で有効判定を確認する。</t>
  </si>
  <si>
    <t xml:space="preserve">セキュリティ: 一般ユーザーが全件参照できず、他人の契約情報を見られないことを確認する。</t>
  </si>
  <si>
    <t xml:space="preserve">
F-014</t>
  </si>
  <si>
    <t xml:space="preserve">
パスワード変更</t>
  </si>
  <si>
    <t xml:space="preserve">
現在 PW 照合・BCrypt 再ハッシュ</t>
  </si>
  <si>
    <t xml:space="preserve">正常系: 現在PW照合後に新PWを保存し、BCrypt 再ハッシュされることを確認する。</t>
  </si>
  <si>
    <t xml:space="preserve">異常系: 現在PW誤り、新PW不一致、空欄で更新失敗を確認する。</t>
  </si>
  <si>
    <t xml:space="preserve">境界値: 新PWの最小/最大長、同一文字列の繰り返しで判定を確認する。</t>
  </si>
  <si>
    <t xml:space="preserve">セキュリティ: 旧PW不一致で更新不可、更新後に旧セッションが無効化されることを確認する。</t>
  </si>
  <si>
    <t xml:space="preserve">
F-015</t>
  </si>
  <si>
    <t xml:space="preserve">
LINE Bot / Broadcast</t>
  </si>
  <si>
    <t xml:space="preserve">
Webhook 受信・Reply / Broadcast 送信</t>
  </si>
  <si>
    <t xml:space="preserve">正常系: Webhook 受信、Reply、Broadcast 送信が成功することを確認する。</t>
  </si>
  <si>
    <t xml:space="preserve">異常系: 不正署名Webhook、空イベント、Reply失敗で再送/エラー処理を確認する。</t>
  </si>
  <si>
    <t xml:space="preserve">境界値: 長文メッセージ、短文、複数イベント同時で処理崩れを確認する。</t>
  </si>
  <si>
    <t xml:space="preserve">セキュリティ: 署名なしリクエストを拒否し、アクセストークンがレスポンスに出ないことを確認する。</t>
  </si>
  <si>
    <t xml:space="preserve">
F-016</t>
  </si>
  <si>
    <t xml:space="preserve">
Slack Bot</t>
  </si>
  <si>
    <t xml:space="preserve">
Webhook 受信・Reply 送信</t>
  </si>
  <si>
    <t xml:space="preserve">正常系: Slack Webhook を受けて Reply が返ることを確認する。</t>
  </si>
  <si>
    <t xml:space="preserve">Skip</t>
  </si>
  <si>
    <t xml:space="preserve">異常系: 不正Webhook、空payload、Reply失敗でエラー処理を確認する。</t>
  </si>
  <si>
    <t xml:space="preserve">境界値: 長文、改行多数、絵文字混在で表示と送信を確認する。</t>
  </si>
  <si>
    <t xml:space="preserve">Skio</t>
  </si>
  <si>
    <t xml:space="preserve">セキュリティ: 署名検証失敗を拒否し、不要なユーザー情報を返さないことを確認する。</t>
  </si>
  <si>
    <t xml:space="preserve">
F-017</t>
  </si>
  <si>
    <t xml:space="preserve">
Zoom オンライン診療</t>
  </si>
  <si>
    <t xml:space="preserve">
Premium プラン限定・Zoom リンク発行</t>
  </si>
  <si>
    <t xml:space="preserve">正常系: Premium で Zoom リンクを発行し、参加URLが取得できることを確認する。</t>
  </si>
  <si>
    <t xml:space="preserve">異常系: Premium 以外で発行を試み、拒否と案内が出ることを確認する。</t>
  </si>
  <si>
    <t xml:space="preserve">境界値: URL発行直後、期限切れ、再発行でリンク状態を確認する。</t>
  </si>
  <si>
    <t xml:space="preserve">セキュリティ: 他人のZoomリンク直アクセスと未権限ロールの発行を拒否する。</t>
  </si>
  <si>
    <t xml:space="preserve">
F-018</t>
  </si>
  <si>
    <t xml:space="preserve">
予約枠管理</t>
  </si>
  <si>
    <t xml:space="preserve">
ADMIN/STAFF による枠登録・カレンダー連携</t>
  </si>
  <si>
    <t xml:space="preserve">正常系: ADMIN/STAFF で予約枠を登録し、カレンダーへ反映されることを確認する。</t>
  </si>
  <si>
    <t xml:space="preserve">異常系: 重複枠、過去日時、空欄で登録失敗を確認する。</t>
  </si>
  <si>
    <t xml:space="preserve">境界値: 月末/月初、診療開始/終了の境界時刻で重複判定を確認する。</t>
  </si>
  <si>
    <t xml:space="preserve">セキュリティ: ADMIN/STAFF 以外の枠登録/削除と ID 直打ち操作を拒否する。</t>
  </si>
  <si>
    <t xml:space="preserve">
F-019</t>
  </si>
  <si>
    <t xml:space="preserve">
お知らせ管理</t>
  </si>
  <si>
    <t xml:space="preserve">
ADMIN/STAFF 作成・全ユーザー表示</t>
  </si>
  <si>
    <t xml:space="preserve">正常系: ADMIN/STAFF が作成したお知らせが全ユーザーに表示されることを確認する。</t>
  </si>
  <si>
    <t xml:space="preserve">異常系: 必須未入力、公開日時未設定で保存失敗を確認する。</t>
  </si>
  <si>
    <t xml:space="preserve">境界値: 長文タイトル/本文、掲載期間の当日境界で表示を確認する。</t>
  </si>
  <si>
    <t xml:space="preserve">セキュリティ: 他人のお知らせ編集と HTML/JS 混入時の無害化を確認する。</t>
  </si>
  <si>
    <t xml:space="preserve">
F-020</t>
  </si>
  <si>
    <t xml:space="preserve">
連携ステータスアイコン</t>
  </si>
  <si>
    <t xml:space="preserve">
ユーザー管理画面 LINE/Slack/Zoom チップ表示</t>
  </si>
  <si>
    <t xml:space="preserve">正常系: ユーザー管理画面で LINE/Slack/Zoom の連携チップが正しく表示される。</t>
  </si>
  <si>
    <t xml:space="preserve">異常系: 未連携/一部連携/連携解除後でも表示崩れしないことを確認する。</t>
  </si>
  <si>
    <t xml:space="preserve">境界値: 3種同時表示、アイコンなし時の余白、長い名前で崩れないことを確認する。</t>
  </si>
  <si>
    <t xml:space="preserve">セキュリティ: 他ユーザーの連携状態が URL 直打ちで参照できないことを確認する。</t>
  </si>
  <si>
    <t xml:space="preserve">
F-021</t>
  </si>
  <si>
    <t xml:space="preserve">
サービス統計</t>
  </si>
  <si>
    <t xml:space="preserve">
ADMIN 専用 集計ダッシュボード</t>
  </si>
  <si>
    <t xml:space="preserve">正常系: ADMIN でサービス統計ページを開き、ユーザー数・ペット数・予約数等の集計値が表示されることを確認する。</t>
  </si>
  <si>
    <t xml:space="preserve">異常系: データ0件/集計失敗時に空表示とエラー処理を確認。</t>
  </si>
  <si>
    <t xml:space="preserve">境界値: 月初/月末、1件/大量件数で集計値とグラフ崩れを確認。</t>
  </si>
  <si>
    <t xml:space="preserve">セキュリティ: ADMIN 専用画面を非管理者で開き、集計データが見えないことを確認。</t>
  </si>
  <si>
    <t xml:space="preserve">区分</t>
  </si>
  <si>
    <t xml:space="preserve">項目</t>
  </si>
  <si>
    <t xml:space="preserve">備考</t>
  </si>
  <si>
    <t xml:space="preserve">ブラウザ</t>
  </si>
  <si>
    <r>
      <rPr>
        <sz val="9"/>
        <color theme="1"/>
        <rFont val="Tahoma"/>
        <family val="2"/>
        <charset val="1"/>
      </rPr>
      <t xml:space="preserve">Google Chrome</t>
    </r>
    <r>
      <rPr>
        <sz val="9"/>
        <color theme="1"/>
        <rFont val="游ゴシック体"/>
        <family val="2"/>
        <charset val="1"/>
      </rPr>
      <t xml:space="preserve">（最新版）</t>
    </r>
  </si>
  <si>
    <t xml:space="preserve">PC</t>
  </si>
  <si>
    <r>
      <rPr>
        <sz val="9"/>
        <color theme="1"/>
        <rFont val="Tahoma"/>
        <family val="2"/>
        <charset val="1"/>
      </rPr>
      <t xml:space="preserve">Microsoft Edge</t>
    </r>
    <r>
      <rPr>
        <sz val="9"/>
        <color theme="1"/>
        <rFont val="游ゴシック体"/>
        <family val="2"/>
        <charset val="1"/>
      </rPr>
      <t xml:space="preserve">（最新版）</t>
    </r>
  </si>
  <si>
    <r>
      <rPr>
        <sz val="9"/>
        <color theme="1"/>
        <rFont val="Tahoma"/>
        <family val="2"/>
        <charset val="1"/>
      </rPr>
      <t xml:space="preserve">Mozilla Firefox</t>
    </r>
    <r>
      <rPr>
        <sz val="9"/>
        <color theme="1"/>
        <rFont val="游ゴシック体"/>
        <family val="2"/>
        <charset val="1"/>
      </rPr>
      <t xml:space="preserve">（最新版）</t>
    </r>
  </si>
  <si>
    <r>
      <rPr>
        <sz val="9"/>
        <color theme="1"/>
        <rFont val="Tahoma"/>
        <family val="2"/>
        <charset val="1"/>
      </rPr>
      <t xml:space="preserve">Safari</t>
    </r>
    <r>
      <rPr>
        <sz val="9"/>
        <color theme="1"/>
        <rFont val="游ゴシック体"/>
        <family val="2"/>
        <charset val="1"/>
      </rPr>
      <t xml:space="preserve">（最新版）</t>
    </r>
  </si>
  <si>
    <t xml:space="preserve">iPhone</t>
  </si>
  <si>
    <t xml:space="preserve">OS</t>
  </si>
  <si>
    <t xml:space="preserve">Windows 11</t>
  </si>
  <si>
    <t xml:space="preserve">macOS 14</t>
  </si>
  <si>
    <t xml:space="preserve">Mac</t>
  </si>
  <si>
    <t xml:space="preserve">iOS 18</t>
  </si>
  <si>
    <t xml:space="preserve">Android 15</t>
  </si>
  <si>
    <t xml:space="preserve">Android</t>
  </si>
  <si>
    <t xml:space="preserve">期間</t>
  </si>
  <si>
    <r>
      <rPr>
        <sz val="9"/>
        <color theme="1"/>
        <rFont val="Tahoma"/>
        <family val="2"/>
        <charset val="1"/>
      </rPr>
      <t xml:space="preserve">2026-05-18 </t>
    </r>
    <r>
      <rPr>
        <sz val="9"/>
        <color theme="1"/>
        <rFont val="游ゴシック体"/>
        <family val="2"/>
        <charset val="1"/>
      </rPr>
      <t xml:space="preserve">～ </t>
    </r>
    <r>
      <rPr>
        <sz val="9"/>
        <color theme="1"/>
        <rFont val="Tahoma"/>
        <family val="2"/>
        <charset val="1"/>
      </rPr>
      <t xml:space="preserve">2026-06-29</t>
    </r>
  </si>
  <si>
    <t xml:space="preserve">予備日: 2026-06-30</t>
  </si>
  <si>
    <t xml:space="preserve">テストマトリックス（Pet Life Plus）</t>
  </si>
  <si>
    <t xml:space="preserve">参照元: docs/09-test-report.html, docs/test-checklist.md, docs/test-matrix.md</t>
  </si>
  <si>
    <t xml:space="preserve">目的: 機能・ロール・品質観点・実行条件の対応関係を一覧化し、テストの抜け漏れを防ぐ。</t>
  </si>
  <si>
    <t xml:space="preserve">目的</t>
  </si>
  <si>
    <t xml:space="preserve">内容</t>
  </si>
  <si>
    <t xml:space="preserve">目的1</t>
  </si>
  <si>
    <t xml:space="preserve">テストケースの抜け漏れを機能横断で確認する</t>
  </si>
  <si>
    <t xml:space="preserve">目的2</t>
  </si>
  <si>
    <t xml:space="preserve">ロール差異、外部連携、フォールバック、異常系の網羅状況を見える化する</t>
  </si>
  <si>
    <t xml:space="preserve">目的3</t>
  </si>
  <si>
    <t xml:space="preserve">実施前に、どの環境・どのアカウントで何を確認するかを固める</t>
  </si>
  <si>
    <t xml:space="preserve">判定記号</t>
  </si>
  <si>
    <t xml:space="preserve">記号</t>
  </si>
  <si>
    <t xml:space="preserve">意味</t>
  </si>
  <si>
    <t xml:space="preserve">○</t>
  </si>
  <si>
    <t xml:space="preserve">対応あり</t>
  </si>
  <si>
    <t xml:space="preserve">△</t>
  </si>
  <si>
    <t xml:space="preserve">条件付きで対応あり</t>
  </si>
  <si>
    <t xml:space="preserve">-</t>
  </si>
  <si>
    <t xml:space="preserve">対象外</t>
  </si>
  <si>
    <t xml:space="preserve">問題なし</t>
  </si>
  <si>
    <t xml:space="preserve">NG</t>
  </si>
  <si>
    <t xml:space="preserve">問題あり</t>
  </si>
  <si>
    <t xml:space="preserve">未対応</t>
  </si>
  <si>
    <t xml:space="preserve">機能 × ロール</t>
  </si>
  <si>
    <t xml:space="preserve">機能</t>
  </si>
  <si>
    <t xml:space="preserve">SUPER</t>
  </si>
  <si>
    <t xml:space="preserve">ADMIN</t>
  </si>
  <si>
    <t xml:space="preserve">STAFF</t>
  </si>
  <si>
    <t xml:space="preserve">VET</t>
  </si>
  <si>
    <t xml:space="preserve">USER Light</t>
  </si>
  <si>
    <t xml:space="preserve">USER Standard</t>
  </si>
  <si>
    <t xml:space="preserve">USER Premium</t>
  </si>
  <si>
    <t xml:space="preserve">関連TC</t>
  </si>
  <si>
    <t xml:space="preserve">ログイン認証</t>
  </si>
  <si>
    <t xml:space="preserve">〇</t>
  </si>
  <si>
    <r>
      <rPr>
        <sz val="9"/>
        <color theme="1"/>
        <rFont val="Microsoft Sans Serif"/>
        <family val="2"/>
        <charset val="1"/>
      </rPr>
      <t xml:space="preserve">TC-001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004</t>
    </r>
  </si>
  <si>
    <t xml:space="preserve">ダッシュボード</t>
  </si>
  <si>
    <r>
      <rPr>
        <sz val="9"/>
        <color theme="1"/>
        <rFont val="Microsoft Sans Serif"/>
        <family val="2"/>
        <charset val="1"/>
      </rPr>
      <t xml:space="preserve">TC-005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007</t>
    </r>
  </si>
  <si>
    <t xml:space="preserve">ユーザー管理</t>
  </si>
  <si>
    <r>
      <rPr>
        <sz val="9"/>
        <color theme="1"/>
        <rFont val="Microsoft Sans Serif"/>
        <family val="2"/>
        <charset val="1"/>
      </rPr>
      <t xml:space="preserve">TC-008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013</t>
    </r>
  </si>
  <si>
    <t xml:space="preserve">ペット管理</t>
  </si>
  <si>
    <r>
      <rPr>
        <sz val="9"/>
        <color theme="1"/>
        <rFont val="Microsoft Sans Serif"/>
        <family val="2"/>
        <charset val="1"/>
      </rPr>
      <t xml:space="preserve">TC-014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017</t>
    </r>
  </si>
  <si>
    <t xml:space="preserve">健康記録管理</t>
  </si>
  <si>
    <r>
      <rPr>
        <sz val="9"/>
        <color theme="1"/>
        <rFont val="Microsoft Sans Serif"/>
        <family val="2"/>
        <charset val="1"/>
      </rPr>
      <t xml:space="preserve">TC-018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020</t>
    </r>
  </si>
  <si>
    <t xml:space="preserve">診療予約申請</t>
  </si>
  <si>
    <t xml:space="preserve">TC-021,025,026</t>
  </si>
  <si>
    <t xml:space="preserve">診療予約承認・却下</t>
  </si>
  <si>
    <t xml:space="preserve">TC-022,024</t>
  </si>
  <si>
    <t xml:space="preserve">診療予約キャンセル</t>
  </si>
  <si>
    <t xml:space="preserve">TC-027b</t>
  </si>
  <si>
    <t xml:space="preserve">診療記録</t>
  </si>
  <si>
    <r>
      <rPr>
        <sz val="9"/>
        <color theme="1"/>
        <rFont val="Microsoft Sans Serif"/>
        <family val="2"/>
        <charset val="1"/>
      </rPr>
      <t xml:space="preserve">TC-028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029b</t>
    </r>
  </si>
  <si>
    <r>
      <rPr>
        <sz val="9"/>
        <color theme="1"/>
        <rFont val="Microsoft Sans Serif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症状チェック</t>
    </r>
  </si>
  <si>
    <t xml:space="preserve">TC-032,033</t>
  </si>
  <si>
    <t xml:space="preserve">チャットボット相談</t>
  </si>
  <si>
    <r>
      <rPr>
        <sz val="9"/>
        <color theme="1"/>
        <rFont val="Microsoft Sans Serif"/>
        <family val="2"/>
        <charset val="1"/>
      </rPr>
      <t xml:space="preserve">TC-034,035,065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067</t>
    </r>
  </si>
  <si>
    <t xml:space="preserve">カレンダー</t>
  </si>
  <si>
    <r>
      <rPr>
        <sz val="9"/>
        <color theme="1"/>
        <rFont val="Microsoft Sans Serif"/>
        <family val="2"/>
        <charset val="1"/>
      </rPr>
      <t xml:space="preserve">TC-036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039</t>
    </r>
  </si>
  <si>
    <t xml:space="preserve">通知・既読管理</t>
  </si>
  <si>
    <t xml:space="preserve">TC-040,041</t>
  </si>
  <si>
    <t xml:space="preserve">サブスクリプション確認</t>
  </si>
  <si>
    <t xml:space="preserve">パスワード変更</t>
  </si>
  <si>
    <t xml:space="preserve">TC-043,044</t>
  </si>
  <si>
    <t xml:space="preserve">LINE Bot / Broadcast</t>
  </si>
  <si>
    <r>
      <rPr>
        <sz val="9"/>
        <color theme="1"/>
        <rFont val="Microsoft Sans Serif"/>
        <family val="2"/>
        <charset val="1"/>
      </rPr>
      <t xml:space="preserve">TC-045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048</t>
    </r>
  </si>
  <si>
    <t xml:space="preserve">Slack Bot</t>
  </si>
  <si>
    <r>
      <rPr>
        <sz val="9"/>
        <color theme="1"/>
        <rFont val="Microsoft Sans Serif"/>
        <family val="2"/>
        <charset val="1"/>
      </rPr>
      <t xml:space="preserve">Zoom </t>
    </r>
    <r>
      <rPr>
        <sz val="9"/>
        <color theme="1"/>
        <rFont val="游ゴシック体"/>
        <family val="2"/>
        <charset val="1"/>
      </rPr>
      <t xml:space="preserve">オンライン診療</t>
    </r>
  </si>
  <si>
    <t xml:space="preserve">TC-050,051</t>
  </si>
  <si>
    <t xml:space="preserve">予約枠管理</t>
  </si>
  <si>
    <t xml:space="preserve">TC-052,053</t>
  </si>
  <si>
    <t xml:space="preserve">お知らせ管理</t>
  </si>
  <si>
    <t xml:space="preserve">サービス統計</t>
  </si>
  <si>
    <t xml:space="preserve">請求・決済管理</t>
  </si>
  <si>
    <r>
      <rPr>
        <sz val="9"/>
        <color theme="1"/>
        <rFont val="Microsoft Sans Serif"/>
        <family val="2"/>
        <charset val="1"/>
      </rPr>
      <t xml:space="preserve">TC-059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063</t>
    </r>
  </si>
  <si>
    <t xml:space="preserve">診療情報印刷</t>
  </si>
  <si>
    <t xml:space="preserve">TC-064</t>
  </si>
  <si>
    <t xml:space="preserve">機能 × 品質観点</t>
  </si>
  <si>
    <t xml:space="preserve">機能群</t>
  </si>
  <si>
    <t xml:space="preserve">権限制御</t>
  </si>
  <si>
    <t xml:space="preserve">外部連携</t>
  </si>
  <si>
    <t xml:space="preserve">フォールバック</t>
  </si>
  <si>
    <t xml:space="preserve">認証・共通</t>
  </si>
  <si>
    <r>
      <rPr>
        <sz val="9"/>
        <color theme="1"/>
        <rFont val="Microsoft Sans Serif"/>
        <family val="2"/>
        <charset val="1"/>
      </rPr>
      <t xml:space="preserve">TC-001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007,030,031,056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058</t>
    </r>
  </si>
  <si>
    <t xml:space="preserve">ユーザー・ペット管理</t>
  </si>
  <si>
    <r>
      <rPr>
        <sz val="9"/>
        <color theme="1"/>
        <rFont val="Microsoft Sans Serif"/>
        <family val="2"/>
        <charset val="1"/>
      </rPr>
      <t xml:space="preserve">TC-008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020,042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044,064</t>
    </r>
  </si>
  <si>
    <t xml:space="preserve">予約・診療</t>
  </si>
  <si>
    <r>
      <rPr>
        <sz val="9"/>
        <color theme="1"/>
        <rFont val="Microsoft Sans Serif"/>
        <family val="2"/>
        <charset val="1"/>
      </rPr>
      <t xml:space="preserve">TC-021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029b,040,041,052,053</t>
    </r>
  </si>
  <si>
    <r>
      <rPr>
        <sz val="9"/>
        <color theme="1"/>
        <rFont val="Microsoft Sans Serif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・チャット</t>
    </r>
  </si>
  <si>
    <r>
      <rPr>
        <sz val="9"/>
        <color theme="1"/>
        <rFont val="Microsoft Sans Serif"/>
        <family val="2"/>
        <charset val="1"/>
      </rPr>
      <t xml:space="preserve">TC-032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035,045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051,065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067</t>
    </r>
  </si>
  <si>
    <t xml:space="preserve">管理・請求</t>
  </si>
  <si>
    <r>
      <rPr>
        <sz val="9"/>
        <color theme="1"/>
        <rFont val="Microsoft Sans Serif"/>
        <family val="2"/>
        <charset val="1"/>
      </rPr>
      <t xml:space="preserve">TC-054,055,059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063</t>
    </r>
  </si>
  <si>
    <t xml:space="preserve">機能 × 実行環境</t>
  </si>
  <si>
    <r>
      <rPr>
        <b val="true"/>
        <sz val="9"/>
        <rFont val="Microsoft Sans Serif"/>
        <family val="2"/>
        <charset val="1"/>
      </rPr>
      <t xml:space="preserve">PC</t>
    </r>
    <r>
      <rPr>
        <b val="true"/>
        <sz val="9"/>
        <rFont val="游ゴシック体"/>
        <family val="2"/>
        <charset val="1"/>
      </rPr>
      <t xml:space="preserve">ブラウザ</t>
    </r>
  </si>
  <si>
    <t xml:space="preserve">スマホブラウザ</t>
  </si>
  <si>
    <t xml:space="preserve">メール</t>
  </si>
  <si>
    <t xml:space="preserve">LINE</t>
  </si>
  <si>
    <t xml:space="preserve">Slack</t>
  </si>
  <si>
    <t xml:space="preserve">Zoom</t>
  </si>
  <si>
    <r>
      <rPr>
        <b val="true"/>
        <sz val="9"/>
        <rFont val="Microsoft Sans Serif"/>
        <family val="2"/>
        <charset val="1"/>
      </rPr>
      <t xml:space="preserve">API</t>
    </r>
    <r>
      <rPr>
        <b val="true"/>
        <sz val="9"/>
        <rFont val="游ゴシック体"/>
        <family val="2"/>
        <charset val="1"/>
      </rPr>
      <t xml:space="preserve">キー未設定確認</t>
    </r>
  </si>
  <si>
    <t xml:space="preserve">ログイン・ダッシュボード</t>
  </si>
  <si>
    <r>
      <rPr>
        <sz val="9"/>
        <color theme="1"/>
        <rFont val="Microsoft Sans Serif"/>
        <family val="2"/>
        <charset val="1"/>
      </rPr>
      <t xml:space="preserve">TC-001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007</t>
    </r>
  </si>
  <si>
    <t xml:space="preserve">ユーザー・ペット・健康記録</t>
  </si>
  <si>
    <t xml:space="preserve">予約・通知</t>
  </si>
  <si>
    <t xml:space="preserve">パスワード再設定</t>
  </si>
  <si>
    <r>
      <rPr>
        <sz val="9"/>
        <color theme="1"/>
        <rFont val="Microsoft Sans Serif"/>
        <family val="2"/>
        <charset val="1"/>
      </rPr>
      <t xml:space="preserve">TC-056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058</t>
    </r>
  </si>
  <si>
    <r>
      <rPr>
        <sz val="9"/>
        <color theme="1"/>
        <rFont val="Microsoft Sans Serif"/>
        <family val="2"/>
        <charset val="1"/>
      </rPr>
      <t xml:space="preserve">LINE</t>
    </r>
    <r>
      <rPr>
        <sz val="9"/>
        <color theme="1"/>
        <rFont val="游ゴシック体"/>
        <family val="2"/>
        <charset val="1"/>
      </rPr>
      <t xml:space="preserve">連携機能</t>
    </r>
  </si>
  <si>
    <r>
      <rPr>
        <sz val="9"/>
        <color theme="1"/>
        <rFont val="Microsoft Sans Serif"/>
        <family val="2"/>
        <charset val="1"/>
      </rPr>
      <t xml:space="preserve">Slack</t>
    </r>
    <r>
      <rPr>
        <sz val="9"/>
        <color theme="1"/>
        <rFont val="游ゴシック体"/>
        <family val="2"/>
        <charset val="1"/>
      </rPr>
      <t xml:space="preserve">連携機能</t>
    </r>
  </si>
  <si>
    <r>
      <rPr>
        <sz val="9"/>
        <color theme="1"/>
        <rFont val="Microsoft Sans Serif"/>
        <family val="2"/>
        <charset val="1"/>
      </rPr>
      <t xml:space="preserve">Zoom</t>
    </r>
    <r>
      <rPr>
        <sz val="9"/>
        <color theme="1"/>
        <rFont val="游ゴシック体"/>
        <family val="2"/>
        <charset val="1"/>
      </rPr>
      <t xml:space="preserve">オンライン診療</t>
    </r>
  </si>
  <si>
    <t xml:space="preserve">請求・決済・印刷</t>
  </si>
  <si>
    <r>
      <rPr>
        <sz val="9"/>
        <color theme="1"/>
        <rFont val="Microsoft Sans Serif"/>
        <family val="2"/>
        <charset val="1"/>
      </rPr>
      <t xml:space="preserve">TC-059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Microsoft Sans Serif"/>
        <family val="2"/>
        <charset val="1"/>
      </rPr>
      <t xml:space="preserve">064</t>
    </r>
  </si>
  <si>
    <t xml:space="preserve">ロール別の重点確認観点</t>
  </si>
  <si>
    <t xml:space="preserve">ロール</t>
  </si>
  <si>
    <t xml:space="preserve">重点観点</t>
  </si>
  <si>
    <t xml:space="preserve">主な確認項目</t>
  </si>
  <si>
    <t xml:space="preserve">管理機能への到達性</t>
  </si>
  <si>
    <r>
      <rPr>
        <sz val="8"/>
        <color theme="1"/>
        <rFont val="Microsoft Sans Serif"/>
        <family val="2"/>
        <charset val="1"/>
      </rPr>
      <t xml:space="preserve">KPI</t>
    </r>
    <r>
      <rPr>
        <sz val="8"/>
        <color theme="1"/>
        <rFont val="游ゴシック体"/>
        <family val="2"/>
        <charset val="1"/>
      </rPr>
      <t xml:space="preserve">、予約枠、お知らせ、統計、請求、請求書表示</t>
    </r>
  </si>
  <si>
    <r>
      <rPr>
        <sz val="8"/>
        <color theme="1"/>
        <rFont val="Microsoft Sans Serif"/>
        <family val="2"/>
        <charset val="1"/>
      </rPr>
      <t xml:space="preserve">TC-005,027,029b,052</t>
    </r>
    <r>
      <rPr>
        <sz val="8"/>
        <color theme="1"/>
        <rFont val="游ゴシック体"/>
        <family val="2"/>
        <charset val="1"/>
      </rPr>
      <t xml:space="preserve">〜</t>
    </r>
    <r>
      <rPr>
        <sz val="8"/>
        <color theme="1"/>
        <rFont val="Microsoft Sans Serif"/>
        <family val="2"/>
        <charset val="1"/>
      </rPr>
      <t xml:space="preserve">055,059</t>
    </r>
    <r>
      <rPr>
        <sz val="8"/>
        <color theme="1"/>
        <rFont val="游ゴシック体"/>
        <family val="2"/>
        <charset val="1"/>
      </rPr>
      <t xml:space="preserve">〜</t>
    </r>
    <r>
      <rPr>
        <sz val="8"/>
        <color theme="1"/>
        <rFont val="Microsoft Sans Serif"/>
        <family val="2"/>
        <charset val="1"/>
      </rPr>
      <t xml:space="preserve">063</t>
    </r>
  </si>
  <si>
    <t xml:space="preserve">予約処理権限</t>
  </si>
  <si>
    <t xml:space="preserve">承認、却下、キャンセル不可、診療記録可</t>
  </si>
  <si>
    <t xml:space="preserve">TC-022,024,027b,028</t>
  </si>
  <si>
    <t xml:space="preserve">閲覧範囲と管理制限</t>
  </si>
  <si>
    <t xml:space="preserve">ユーザー編集不可、予約枠管理不可、診療記録可、全体カレンダー可</t>
  </si>
  <si>
    <t xml:space="preserve">TC-013,028,039,053</t>
  </si>
  <si>
    <t xml:space="preserve">制限付き利用</t>
  </si>
  <si>
    <r>
      <rPr>
        <sz val="8"/>
        <color theme="1"/>
        <rFont val="Microsoft Sans Serif"/>
        <family val="2"/>
        <charset val="1"/>
      </rPr>
      <t xml:space="preserve">AI</t>
    </r>
    <r>
      <rPr>
        <sz val="8"/>
        <color theme="1"/>
        <rFont val="游ゴシック体"/>
        <family val="2"/>
        <charset val="1"/>
      </rPr>
      <t xml:space="preserve">症状チェックのフォールバック、チャットボットは本アプリ内非対応</t>
    </r>
  </si>
  <si>
    <t xml:space="preserve">TC-006,033,042,065,067</t>
  </si>
  <si>
    <t xml:space="preserve">標準機能利用</t>
  </si>
  <si>
    <t xml:space="preserve">予約申請、AI症状チェック、契約表示、パスワード変更</t>
  </si>
  <si>
    <r>
      <rPr>
        <sz val="8"/>
        <color theme="1"/>
        <rFont val="Microsoft Sans Serif"/>
        <family val="2"/>
        <charset val="1"/>
      </rPr>
      <t xml:space="preserve">TC-021,032,042</t>
    </r>
    <r>
      <rPr>
        <sz val="8"/>
        <color theme="1"/>
        <rFont val="游ゴシック体"/>
        <family val="2"/>
        <charset val="1"/>
      </rPr>
      <t xml:space="preserve">〜</t>
    </r>
    <r>
      <rPr>
        <sz val="8"/>
        <color theme="1"/>
        <rFont val="Microsoft Sans Serif"/>
        <family val="2"/>
        <charset val="1"/>
      </rPr>
      <t xml:space="preserve">044</t>
    </r>
  </si>
  <si>
    <t xml:space="preserve">上位機能利用</t>
  </si>
  <si>
    <t xml:space="preserve">標準機能に加え Zoom オンライン診療可</t>
  </si>
  <si>
    <r>
      <rPr>
        <sz val="8"/>
        <color theme="1"/>
        <rFont val="Microsoft Sans Serif"/>
        <family val="2"/>
        <charset val="1"/>
      </rPr>
      <t xml:space="preserve">TC-021,032,042</t>
    </r>
    <r>
      <rPr>
        <sz val="8"/>
        <color theme="1"/>
        <rFont val="游ゴシック体"/>
        <family val="2"/>
        <charset val="1"/>
      </rPr>
      <t xml:space="preserve">〜</t>
    </r>
    <r>
      <rPr>
        <sz val="8"/>
        <color theme="1"/>
        <rFont val="Microsoft Sans Serif"/>
        <family val="2"/>
        <charset val="1"/>
      </rPr>
      <t xml:space="preserve">044,050</t>
    </r>
  </si>
  <si>
    <t xml:space="preserve">未実施になりやすい観点</t>
  </si>
  <si>
    <t xml:space="preserve">観点</t>
  </si>
  <si>
    <t xml:space="preserve">理由</t>
  </si>
  <si>
    <t xml:space="preserve">代替記録方法</t>
  </si>
  <si>
    <r>
      <rPr>
        <sz val="8"/>
        <color theme="1"/>
        <rFont val="Microsoft Sans Serif"/>
        <family val="2"/>
        <charset val="1"/>
      </rPr>
      <t xml:space="preserve">SendGrid </t>
    </r>
    <r>
      <rPr>
        <sz val="8"/>
        <color theme="1"/>
        <rFont val="游ゴシック体"/>
        <family val="2"/>
        <charset val="1"/>
      </rPr>
      <t xml:space="preserve">メール送信</t>
    </r>
  </si>
  <si>
    <t xml:space="preserve">検証用メール環境が必要</t>
  </si>
  <si>
    <t xml:space="preserve">送信ログ、メールキュー、受信画面キャプチャ</t>
  </si>
  <si>
    <t xml:space="preserve">LINE Broadcast</t>
  </si>
  <si>
    <t xml:space="preserve">フォロワーとチャネル設定が必要</t>
  </si>
  <si>
    <r>
      <rPr>
        <sz val="8"/>
        <color theme="1"/>
        <rFont val="Microsoft Sans Serif"/>
        <family val="2"/>
        <charset val="1"/>
      </rPr>
      <t xml:space="preserve">LINE </t>
    </r>
    <r>
      <rPr>
        <sz val="8"/>
        <color theme="1"/>
        <rFont val="游ゴシック体"/>
        <family val="2"/>
        <charset val="1"/>
      </rPr>
      <t xml:space="preserve">管理画面ログ、受信端末キャプチャ</t>
    </r>
  </si>
  <si>
    <r>
      <rPr>
        <sz val="8"/>
        <color theme="1"/>
        <rFont val="Microsoft Sans Serif"/>
        <family val="2"/>
        <charset val="1"/>
      </rPr>
      <t xml:space="preserve">Slack DM </t>
    </r>
    <r>
      <rPr>
        <sz val="8"/>
        <color theme="1"/>
        <rFont val="游ゴシック体"/>
        <family val="2"/>
        <charset val="1"/>
      </rPr>
      <t xml:space="preserve">応答</t>
    </r>
  </si>
  <si>
    <r>
      <rPr>
        <sz val="9"/>
        <color theme="1"/>
        <rFont val="Microsoft Sans Serif"/>
        <family val="2"/>
        <charset val="1"/>
      </rPr>
      <t xml:space="preserve">Slack App </t>
    </r>
    <r>
      <rPr>
        <sz val="9"/>
        <color theme="1"/>
        <rFont val="游ゴシック体"/>
        <family val="2"/>
        <charset val="1"/>
      </rPr>
      <t xml:space="preserve">と </t>
    </r>
    <r>
      <rPr>
        <sz val="9"/>
        <color theme="1"/>
        <rFont val="Microsoft Sans Serif"/>
        <family val="2"/>
        <charset val="1"/>
      </rPr>
      <t xml:space="preserve">DM </t>
    </r>
    <r>
      <rPr>
        <sz val="9"/>
        <color theme="1"/>
        <rFont val="游ゴシック体"/>
        <family val="2"/>
        <charset val="1"/>
      </rPr>
      <t xml:space="preserve">先が必要</t>
    </r>
  </si>
  <si>
    <r>
      <rPr>
        <sz val="8"/>
        <color theme="1"/>
        <rFont val="Microsoft Sans Serif"/>
        <family val="2"/>
        <charset val="1"/>
      </rPr>
      <t xml:space="preserve">Slack </t>
    </r>
    <r>
      <rPr>
        <sz val="8"/>
        <color theme="1"/>
        <rFont val="游ゴシック体"/>
        <family val="2"/>
        <charset val="1"/>
      </rPr>
      <t xml:space="preserve">スクリーンショット、アプリログ</t>
    </r>
  </si>
  <si>
    <r>
      <rPr>
        <sz val="8"/>
        <color theme="1"/>
        <rFont val="Microsoft Sans Serif"/>
        <family val="2"/>
        <charset val="1"/>
      </rPr>
      <t xml:space="preserve">Zoom </t>
    </r>
    <r>
      <rPr>
        <sz val="8"/>
        <color theme="1"/>
        <rFont val="游ゴシック体"/>
        <family val="2"/>
        <charset val="1"/>
      </rPr>
      <t xml:space="preserve">予約導線</t>
    </r>
  </si>
  <si>
    <r>
      <rPr>
        <sz val="9"/>
        <color theme="1"/>
        <rFont val="Microsoft Sans Serif"/>
        <family val="2"/>
        <charset val="1"/>
      </rPr>
      <t xml:space="preserve">Premium </t>
    </r>
    <r>
      <rPr>
        <sz val="9"/>
        <color theme="1"/>
        <rFont val="游ゴシック体"/>
        <family val="2"/>
        <charset val="1"/>
      </rPr>
      <t xml:space="preserve">アカウントと </t>
    </r>
    <r>
      <rPr>
        <sz val="9"/>
        <color theme="1"/>
        <rFont val="Microsoft Sans Serif"/>
        <family val="2"/>
        <charset val="1"/>
      </rPr>
      <t xml:space="preserve">Zoom </t>
    </r>
    <r>
      <rPr>
        <sz val="9"/>
        <color theme="1"/>
        <rFont val="游ゴシック体"/>
        <family val="2"/>
        <charset val="1"/>
      </rPr>
      <t xml:space="preserve">設定が必要</t>
    </r>
  </si>
  <si>
    <t xml:space="preserve">予約詳細画面、通知、発行リンク確認</t>
  </si>
  <si>
    <r>
      <rPr>
        <sz val="8"/>
        <color theme="1"/>
        <rFont val="Microsoft Sans Serif"/>
        <family val="2"/>
        <charset val="1"/>
      </rPr>
      <t xml:space="preserve">API </t>
    </r>
    <r>
      <rPr>
        <sz val="8"/>
        <color theme="1"/>
        <rFont val="游ゴシック体"/>
        <family val="2"/>
        <charset val="1"/>
      </rPr>
      <t xml:space="preserve">キー未設定フォールバック</t>
    </r>
  </si>
  <si>
    <t xml:space="preserve">環境変数切替が必要</t>
  </si>
  <si>
    <t xml:space="preserve">切替日時、構成差分、レスポンス記録</t>
  </si>
  <si>
    <t xml:space="preserve">実施順の推奨</t>
  </si>
  <si>
    <t xml:space="preserve">順番</t>
  </si>
  <si>
    <t xml:space="preserve">1</t>
  </si>
  <si>
    <t xml:space="preserve">認証・ロール別アクセス制御</t>
  </si>
  <si>
    <t xml:space="preserve">2</t>
  </si>
  <si>
    <t xml:space="preserve">基本 CRUD（ユーザー、ペット、健康記録）</t>
  </si>
  <si>
    <t xml:space="preserve">3</t>
  </si>
  <si>
    <t xml:space="preserve">予約、通知、カレンダー</t>
  </si>
  <si>
    <t xml:space="preserve">4</t>
  </si>
  <si>
    <r>
      <rPr>
        <sz val="8"/>
        <color theme="1"/>
        <rFont val="Microsoft Sans Serif"/>
        <family val="2"/>
        <charset val="1"/>
      </rPr>
      <t xml:space="preserve">AI</t>
    </r>
    <r>
      <rPr>
        <sz val="8"/>
        <color theme="1"/>
        <rFont val="游ゴシック体"/>
        <family val="2"/>
        <charset val="1"/>
      </rPr>
      <t xml:space="preserve">症状チェックのみ（チャットボット非対応）</t>
    </r>
  </si>
  <si>
    <t xml:space="preserve">5</t>
  </si>
  <si>
    <t xml:space="preserve">外部連携（LINE、Slack、Zoom、SendGrid）</t>
  </si>
  <si>
    <t xml:space="preserve">6</t>
  </si>
  <si>
    <t xml:space="preserve">管理機能、請求、印刷</t>
  </si>
  <si>
    <t xml:space="preserve">補足</t>
  </si>
  <si>
    <t xml:space="preserve">補足1</t>
  </si>
  <si>
    <t xml:space="preserve">△ は条件付き対応。STAFF や VET は機能の一部のみ実行できるケースがある。</t>
  </si>
  <si>
    <t xml:space="preserve">補足2</t>
  </si>
  <si>
    <t xml:space="preserve">実際の判定記録は docs/test-checklist.md に残す。</t>
  </si>
  <si>
    <t xml:space="preserve">補足3</t>
  </si>
  <si>
    <t xml:space="preserve">追加機能が増えた場合は、先に本マトリックスへ観点追加し、その後チェックリストへ具体項目を足す。</t>
  </si>
  <si>
    <t xml:space="preserve">テスト結果サマリー</t>
  </si>
  <si>
    <t xml:space="preserve">合格率</t>
  </si>
  <si>
    <t xml:space="preserve">各シートの合格率と合計合格率を関数で集計</t>
  </si>
  <si>
    <t xml:space="preserve">テストケース一覧</t>
  </si>
  <si>
    <t xml:space="preserve">機能別テスト項目</t>
  </si>
  <si>
    <t xml:space="preserve">合計</t>
  </si>
  <si>
    <t xml:space="preserve">総テストケース数</t>
  </si>
  <si>
    <t xml:space="preserve">未実施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</si>
</sst>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8">
    <font>
      <sz val="11"/>
      <color theme="1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游ゴシック体"/>
      <family val="2"/>
      <charset val="1"/>
    </font>
    <font>
      <b val="true"/>
      <sz val="9"/>
      <name val="游ゴシック体"/>
      <family val="2"/>
      <charset val="1"/>
    </font>
    <font>
      <sz val="9"/>
      <color theme="1"/>
      <name val="Tahoma"/>
      <family val="2"/>
      <charset val="1"/>
    </font>
    <font>
      <sz val="9"/>
      <color theme="1"/>
      <name val="Microsoft Sans Serif"/>
      <family val="2"/>
      <charset val="1"/>
    </font>
    <font>
      <sz val="8"/>
      <color theme="1"/>
      <name val="游ゴシック体"/>
      <family val="2"/>
      <charset val="1"/>
    </font>
    <font>
      <sz val="8"/>
      <color rgb="FFFFFFFF"/>
      <name val="Microsoft Sans Serif"/>
      <family val="2"/>
      <charset val="1"/>
    </font>
    <font>
      <sz val="8"/>
      <color rgb="FFFFFFFF"/>
      <name val="游ゴシック体"/>
      <family val="2"/>
      <charset val="1"/>
    </font>
    <font>
      <sz val="8"/>
      <color rgb="FF1D4ED8"/>
      <name val="Microsoft Sans Serif"/>
      <family val="2"/>
      <charset val="1"/>
    </font>
    <font>
      <sz val="8"/>
      <name val="Microsoft Sans Serif"/>
      <family val="2"/>
      <charset val="1"/>
    </font>
    <font>
      <sz val="8"/>
      <name val="游ゴシック体"/>
      <family val="2"/>
      <charset val="1"/>
    </font>
    <font>
      <sz val="8"/>
      <color theme="1"/>
      <name val="Microsoft Sans Serif"/>
      <family val="2"/>
      <charset val="1"/>
    </font>
    <font>
      <sz val="8"/>
      <name val="ＭＳ ゴシック"/>
      <family val="3"/>
      <charset val="128"/>
    </font>
    <font>
      <sz val="8"/>
      <name val="Tahoma"/>
      <family val="2"/>
      <charset val="1"/>
    </font>
    <font>
      <b val="true"/>
      <sz val="8"/>
      <color rgb="FFFFFFFF"/>
      <name val="游ゴシック体"/>
      <family val="2"/>
      <charset val="1"/>
    </font>
    <font>
      <b val="true"/>
      <sz val="8"/>
      <color rgb="FF0EA5A4"/>
      <name val="Microsoft Sans Serif"/>
      <family val="2"/>
      <charset val="1"/>
    </font>
    <font>
      <b val="true"/>
      <sz val="9"/>
      <color rgb="FF000000"/>
      <name val="游ゴシック体"/>
      <family val="2"/>
      <charset val="1"/>
    </font>
    <font>
      <b val="true"/>
      <sz val="9"/>
      <color rgb="FFFFFFFF"/>
      <name val="游ゴシック体"/>
      <family val="2"/>
      <charset val="1"/>
    </font>
    <font>
      <sz val="9"/>
      <color theme="1"/>
      <name val="ＭＳ Ｐゴシック"/>
      <family val="2"/>
      <charset val="128"/>
    </font>
    <font>
      <b val="true"/>
      <sz val="9"/>
      <name val="Microsoft Sans Serif"/>
      <family val="2"/>
      <charset val="1"/>
    </font>
    <font>
      <b val="true"/>
      <sz val="8"/>
      <name val="游ゴシック体"/>
      <family val="2"/>
      <charset val="1"/>
    </font>
    <font>
      <b val="true"/>
      <sz val="11"/>
      <color rgb="FFFFFFFF"/>
      <name val="游ゴシック体"/>
      <family val="2"/>
      <charset val="1"/>
    </font>
    <font>
      <b val="true"/>
      <sz val="18"/>
      <color rgb="FF000000"/>
      <name val="游ゴシック体"/>
      <family val="2"/>
    </font>
    <font>
      <sz val="10"/>
      <color rgb="FF000000"/>
      <name val="游ゴシック体"/>
      <family val="2"/>
    </font>
    <font>
      <b val="true"/>
      <sz val="10"/>
      <color rgb="FF000000"/>
      <name val="游ゴシック体"/>
      <family val="2"/>
    </font>
  </fonts>
  <fills count="11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FFFFFF"/>
        <bgColor rgb="FFF8FBFF"/>
      </patternFill>
    </fill>
    <fill>
      <patternFill patternType="solid">
        <fgColor rgb="FFF8FBFF"/>
        <bgColor rgb="FFFFFFFF"/>
      </patternFill>
    </fill>
    <fill>
      <patternFill patternType="solid">
        <fgColor rgb="FF0EA5A4"/>
        <bgColor rgb="FF008080"/>
      </patternFill>
    </fill>
    <fill>
      <patternFill patternType="solid">
        <fgColor rgb="FFEEEEEE"/>
        <bgColor rgb="FFEAF3FB"/>
      </patternFill>
    </fill>
    <fill>
      <patternFill patternType="solid">
        <fgColor rgb="FFDDDDDD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EAF3FB"/>
        <bgColor rgb="FFEEEEEE"/>
      </patternFill>
    </fill>
    <fill>
      <patternFill patternType="solid">
        <fgColor rgb="FFD9EAF7"/>
        <bgColor rgb="FFEAF3FB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B7C9E2"/>
      </left>
      <right/>
      <top style="thin">
        <color rgb="FFB7C9E2"/>
      </top>
      <bottom style="thin">
        <color rgb="FFB7C9E2"/>
      </bottom>
      <diagonal/>
    </border>
    <border diagonalUp="false" diagonalDown="false"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 diagonalUp="false" diagonalDown="false">
      <left style="thin">
        <color rgb="FFB7C9E2"/>
      </left>
      <right/>
      <top style="thin">
        <color rgb="FFB7C9E2"/>
      </top>
      <bottom/>
      <diagonal/>
    </border>
    <border diagonalUp="false" diagonalDown="false">
      <left style="thin">
        <color rgb="FFB7C9E2"/>
      </left>
      <right/>
      <top/>
      <bottom/>
      <diagonal/>
    </border>
    <border diagonalUp="false" diagonalDown="false">
      <left style="thin">
        <color rgb="FFB7C9E2"/>
      </left>
      <right style="thin">
        <color rgb="FFB7C9E2"/>
      </right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9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D4ED8"/>
          <bgColor rgb="FF000000"/>
        </patternFill>
      </fill>
    </dxf>
    <dxf>
      <fill>
        <patternFill patternType="solid">
          <fgColor rgb="FFF8FB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EA5A4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8FBFF"/>
      <rgbColor rgb="FFD9EAF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EEEEEE"/>
      <rgbColor rgb="FFDDDDDD"/>
      <rgbColor rgb="FFB7C9E2"/>
      <rgbColor rgb="FFD1D5DB"/>
      <rgbColor rgb="FFD0D0D0"/>
      <rgbColor rgb="FFD9D9D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0EA5A4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シート別合格率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テスト結果サマリー!E1</c:f>
              <c:strCache>
                <c:ptCount val="1"/>
                <c:pt idx="0">
                  <c:v>合格率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テスト結果サマリー!$D$2:$D$4</c:f>
              <c:strCache>
                <c:ptCount val="3"/>
                <c:pt idx="0">
                  <c:v>テストケース一覧</c:v>
                </c:pt>
                <c:pt idx="1">
                  <c:v>機能別テスト項目</c:v>
                </c:pt>
                <c:pt idx="2">
                  <c:v>合計</c:v>
                </c:pt>
              </c:strCache>
            </c:strRef>
          </c:cat>
          <c:val>
            <c:numRef>
              <c:f>テスト結果サマリー!$E$2:$E$4</c:f>
              <c:numCache>
                <c:formatCode>0.0%</c:formatCode>
                <c:ptCount val="3"/>
                <c:pt idx="0">
                  <c:v>0.927272727272727</c:v>
                </c:pt>
                <c:pt idx="1">
                  <c:v>0.904761904761905</c:v>
                </c:pt>
                <c:pt idx="2">
                  <c:v>0.913669064748201</c:v>
                </c:pt>
              </c:numCache>
            </c:numRef>
          </c:val>
        </c:ser>
        <c:gapWidth val="100"/>
        <c:overlap val="100"/>
        <c:axId val="28376111"/>
        <c:axId val="4494158"/>
      </c:barChart>
      <c:catAx>
        <c:axId val="28376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区分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94158"/>
        <c:crosses val="autoZero"/>
        <c:auto val="1"/>
        <c:lblAlgn val="ctr"/>
        <c:lblOffset val="100"/>
        <c:noMultiLvlLbl val="0"/>
      </c:catAx>
      <c:valAx>
        <c:axId val="44941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合格率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3761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309960</xdr:colOff>
      <xdr:row>15</xdr:row>
      <xdr:rowOff>98280</xdr:rowOff>
    </xdr:to>
    <xdr:graphicFrame>
      <xdr:nvGraphicFramePr>
        <xdr:cNvPr id="1" name="Chart 1"/>
        <xdr:cNvGraphicFramePr/>
      </xdr:nvGraphicFramePr>
      <xdr:xfrm>
        <a:off x="7592040" y="3049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.46875" defaultRowHeight="11.2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68.73"/>
    <col collapsed="false" customWidth="true" hidden="false" outlineLevel="0" max="4" min="3" style="1" width="21.12"/>
    <col collapsed="false" customWidth="false" hidden="false" outlineLevel="0" max="16384" min="5" style="1" width="7.47"/>
  </cols>
  <sheetData>
    <row r="1" customFormat="false" ht="11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</row>
    <row r="5" customFormat="false" ht="15" hidden="false" customHeight="true" outlineLevel="0" collapsed="false">
      <c r="A5" s="3" t="s">
        <v>5</v>
      </c>
      <c r="B5" s="6" t="s">
        <v>6</v>
      </c>
      <c r="C5" s="6"/>
      <c r="D5" s="6"/>
    </row>
    <row r="6" customFormat="false" ht="15" hidden="false" customHeight="true" outlineLevel="0" collapsed="false">
      <c r="A6" s="3" t="s">
        <v>7</v>
      </c>
      <c r="B6" s="6" t="s">
        <v>8</v>
      </c>
      <c r="C6" s="6"/>
      <c r="D6" s="6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</row>
    <row r="8" customFormat="false" ht="15" hidden="false" customHeight="true" outlineLevel="0" collapsed="false">
      <c r="A8" s="3" t="s">
        <v>11</v>
      </c>
      <c r="B8" s="5" t="s">
        <v>12</v>
      </c>
      <c r="C8" s="5"/>
      <c r="D8" s="5"/>
    </row>
  </sheetData>
  <mergeCells count="7">
    <mergeCell ref="A1:D1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51" activeCellId="0" sqref="G51"/>
    </sheetView>
  </sheetViews>
  <sheetFormatPr defaultColWidth="18.34375" defaultRowHeight="9.75" customHeight="false" zeroHeight="false" outlineLevelRow="0" outlineLevelCol="0"/>
  <cols>
    <col collapsed="false" customWidth="true" hidden="false" outlineLevel="0" max="1" min="1" style="7" width="7.73"/>
    <col collapsed="false" customWidth="true" hidden="false" outlineLevel="0" max="2" min="2" style="7" width="17.66"/>
    <col collapsed="false" customWidth="true" hidden="false" outlineLevel="0" max="3" min="3" style="7" width="12.47"/>
    <col collapsed="false" customWidth="false" hidden="false" outlineLevel="0" max="4" min="4" style="7" width="18.34"/>
    <col collapsed="false" customWidth="true" hidden="false" outlineLevel="0" max="5" min="5" style="7" width="25.47"/>
    <col collapsed="false" customWidth="true" hidden="false" outlineLevel="0" max="6" min="6" style="8" width="9.6"/>
    <col collapsed="false" customWidth="false" hidden="false" outlineLevel="0" max="16384" min="7" style="7" width="18.34"/>
  </cols>
  <sheetData>
    <row r="1" customFormat="false" ht="19.5" hidden="false" customHeight="true" outlineLevel="0" collapsed="false">
      <c r="A1" s="9" t="s">
        <v>13</v>
      </c>
      <c r="B1" s="10" t="s">
        <v>14</v>
      </c>
      <c r="C1" s="10" t="s">
        <v>3</v>
      </c>
      <c r="D1" s="10" t="s">
        <v>15</v>
      </c>
      <c r="E1" s="10" t="s">
        <v>16</v>
      </c>
      <c r="F1" s="10" t="s">
        <v>17</v>
      </c>
    </row>
    <row r="2" customFormat="false" ht="30" hidden="false" customHeight="true" outlineLevel="0" collapsed="false">
      <c r="A2" s="11" t="s">
        <v>18</v>
      </c>
      <c r="B2" s="12" t="s">
        <v>19</v>
      </c>
      <c r="C2" s="13" t="s">
        <v>20</v>
      </c>
      <c r="D2" s="13" t="s">
        <v>21</v>
      </c>
      <c r="E2" s="13" t="s">
        <v>22</v>
      </c>
      <c r="F2" s="14" t="s">
        <v>23</v>
      </c>
    </row>
    <row r="3" customFormat="false" ht="30" hidden="false" customHeight="true" outlineLevel="0" collapsed="false">
      <c r="A3" s="15" t="s">
        <v>24</v>
      </c>
      <c r="B3" s="16" t="s">
        <v>19</v>
      </c>
      <c r="C3" s="17" t="s">
        <v>25</v>
      </c>
      <c r="D3" s="17" t="s">
        <v>26</v>
      </c>
      <c r="E3" s="17" t="s">
        <v>27</v>
      </c>
      <c r="F3" s="14" t="s">
        <v>23</v>
      </c>
    </row>
    <row r="4" customFormat="false" ht="30" hidden="false" customHeight="true" outlineLevel="0" collapsed="false">
      <c r="A4" s="11" t="s">
        <v>28</v>
      </c>
      <c r="B4" s="12" t="s">
        <v>19</v>
      </c>
      <c r="C4" s="13" t="s">
        <v>25</v>
      </c>
      <c r="D4" s="13" t="s">
        <v>29</v>
      </c>
      <c r="E4" s="13" t="s">
        <v>30</v>
      </c>
      <c r="F4" s="14" t="s">
        <v>23</v>
      </c>
    </row>
    <row r="5" customFormat="false" ht="30" hidden="false" customHeight="true" outlineLevel="0" collapsed="false">
      <c r="A5" s="15" t="s">
        <v>31</v>
      </c>
      <c r="B5" s="16" t="s">
        <v>19</v>
      </c>
      <c r="C5" s="17" t="s">
        <v>32</v>
      </c>
      <c r="D5" s="17" t="s">
        <v>33</v>
      </c>
      <c r="E5" s="17" t="s">
        <v>34</v>
      </c>
      <c r="F5" s="14" t="s">
        <v>23</v>
      </c>
    </row>
    <row r="6" customFormat="false" ht="30" hidden="false" customHeight="true" outlineLevel="0" collapsed="false">
      <c r="A6" s="11" t="s">
        <v>35</v>
      </c>
      <c r="B6" s="12" t="s">
        <v>36</v>
      </c>
      <c r="C6" s="13" t="s">
        <v>20</v>
      </c>
      <c r="D6" s="12" t="s">
        <v>37</v>
      </c>
      <c r="E6" s="13" t="s">
        <v>38</v>
      </c>
      <c r="F6" s="14" t="s">
        <v>23</v>
      </c>
    </row>
    <row r="7" customFormat="false" ht="30" hidden="false" customHeight="true" outlineLevel="0" collapsed="false">
      <c r="A7" s="15" t="s">
        <v>39</v>
      </c>
      <c r="B7" s="16" t="s">
        <v>36</v>
      </c>
      <c r="C7" s="17" t="s">
        <v>20</v>
      </c>
      <c r="D7" s="17" t="s">
        <v>40</v>
      </c>
      <c r="E7" s="17" t="s">
        <v>41</v>
      </c>
      <c r="F7" s="14" t="s">
        <v>23</v>
      </c>
    </row>
    <row r="8" customFormat="false" ht="30" hidden="false" customHeight="true" outlineLevel="0" collapsed="false">
      <c r="A8" s="11" t="s">
        <v>42</v>
      </c>
      <c r="B8" s="12" t="s">
        <v>36</v>
      </c>
      <c r="C8" s="13" t="s">
        <v>43</v>
      </c>
      <c r="D8" s="13" t="s">
        <v>44</v>
      </c>
      <c r="E8" s="12" t="s">
        <v>45</v>
      </c>
      <c r="F8" s="14" t="s">
        <v>23</v>
      </c>
    </row>
    <row r="9" customFormat="false" ht="30" hidden="false" customHeight="true" outlineLevel="0" collapsed="false">
      <c r="A9" s="15" t="s">
        <v>46</v>
      </c>
      <c r="B9" s="16" t="s">
        <v>47</v>
      </c>
      <c r="C9" s="17" t="s">
        <v>20</v>
      </c>
      <c r="D9" s="17" t="s">
        <v>48</v>
      </c>
      <c r="E9" s="17" t="s">
        <v>49</v>
      </c>
      <c r="F9" s="14" t="s">
        <v>23</v>
      </c>
    </row>
    <row r="10" customFormat="false" ht="37.5" hidden="false" customHeight="true" outlineLevel="0" collapsed="false">
      <c r="A10" s="11" t="s">
        <v>50</v>
      </c>
      <c r="B10" s="12" t="s">
        <v>47</v>
      </c>
      <c r="C10" s="13" t="s">
        <v>25</v>
      </c>
      <c r="D10" s="13" t="s">
        <v>51</v>
      </c>
      <c r="E10" s="12" t="s">
        <v>52</v>
      </c>
      <c r="F10" s="14" t="s">
        <v>23</v>
      </c>
    </row>
    <row r="11" customFormat="false" ht="30" hidden="false" customHeight="true" outlineLevel="0" collapsed="false">
      <c r="A11" s="15" t="s">
        <v>53</v>
      </c>
      <c r="B11" s="16" t="s">
        <v>47</v>
      </c>
      <c r="C11" s="17" t="s">
        <v>20</v>
      </c>
      <c r="D11" s="17" t="s">
        <v>54</v>
      </c>
      <c r="E11" s="17" t="s">
        <v>55</v>
      </c>
      <c r="F11" s="14" t="s">
        <v>23</v>
      </c>
    </row>
    <row r="12" customFormat="false" ht="30" hidden="false" customHeight="true" outlineLevel="0" collapsed="false">
      <c r="A12" s="11" t="s">
        <v>56</v>
      </c>
      <c r="B12" s="12" t="s">
        <v>47</v>
      </c>
      <c r="C12" s="13" t="s">
        <v>20</v>
      </c>
      <c r="D12" s="12" t="s">
        <v>57</v>
      </c>
      <c r="E12" s="12" t="s">
        <v>58</v>
      </c>
      <c r="F12" s="14" t="s">
        <v>23</v>
      </c>
    </row>
    <row r="13" customFormat="false" ht="30" hidden="false" customHeight="true" outlineLevel="0" collapsed="false">
      <c r="A13" s="15" t="s">
        <v>59</v>
      </c>
      <c r="B13" s="16" t="s">
        <v>47</v>
      </c>
      <c r="C13" s="17" t="s">
        <v>20</v>
      </c>
      <c r="D13" s="16" t="s">
        <v>60</v>
      </c>
      <c r="E13" s="16" t="s">
        <v>61</v>
      </c>
      <c r="F13" s="14" t="s">
        <v>23</v>
      </c>
    </row>
    <row r="14" customFormat="false" ht="30" hidden="false" customHeight="true" outlineLevel="0" collapsed="false">
      <c r="A14" s="11" t="s">
        <v>62</v>
      </c>
      <c r="B14" s="12" t="s">
        <v>47</v>
      </c>
      <c r="C14" s="13" t="s">
        <v>32</v>
      </c>
      <c r="D14" s="12" t="s">
        <v>63</v>
      </c>
      <c r="E14" s="13" t="s">
        <v>64</v>
      </c>
      <c r="F14" s="14" t="s">
        <v>23</v>
      </c>
    </row>
    <row r="15" customFormat="false" ht="30" hidden="false" customHeight="true" outlineLevel="0" collapsed="false">
      <c r="A15" s="15" t="s">
        <v>65</v>
      </c>
      <c r="B15" s="16" t="s">
        <v>66</v>
      </c>
      <c r="C15" s="17" t="s">
        <v>20</v>
      </c>
      <c r="D15" s="17" t="s">
        <v>67</v>
      </c>
      <c r="E15" s="17" t="s">
        <v>68</v>
      </c>
      <c r="F15" s="14" t="s">
        <v>23</v>
      </c>
    </row>
    <row r="16" customFormat="false" ht="30" hidden="false" customHeight="true" outlineLevel="0" collapsed="false">
      <c r="A16" s="11" t="s">
        <v>69</v>
      </c>
      <c r="B16" s="12" t="s">
        <v>66</v>
      </c>
      <c r="C16" s="13" t="s">
        <v>20</v>
      </c>
      <c r="D16" s="13" t="s">
        <v>70</v>
      </c>
      <c r="E16" s="13" t="s">
        <v>71</v>
      </c>
      <c r="F16" s="14" t="s">
        <v>23</v>
      </c>
    </row>
    <row r="17" customFormat="false" ht="30" hidden="false" customHeight="true" outlineLevel="0" collapsed="false">
      <c r="A17" s="15" t="s">
        <v>72</v>
      </c>
      <c r="B17" s="16" t="s">
        <v>66</v>
      </c>
      <c r="C17" s="17" t="s">
        <v>25</v>
      </c>
      <c r="D17" s="17" t="s">
        <v>73</v>
      </c>
      <c r="E17" s="17" t="s">
        <v>74</v>
      </c>
      <c r="F17" s="14" t="s">
        <v>23</v>
      </c>
    </row>
    <row r="18" customFormat="false" ht="30" hidden="false" customHeight="true" outlineLevel="0" collapsed="false">
      <c r="A18" s="11" t="s">
        <v>75</v>
      </c>
      <c r="B18" s="12" t="s">
        <v>66</v>
      </c>
      <c r="C18" s="13" t="s">
        <v>43</v>
      </c>
      <c r="D18" s="13" t="s">
        <v>76</v>
      </c>
      <c r="E18" s="13" t="s">
        <v>77</v>
      </c>
      <c r="F18" s="14" t="s">
        <v>23</v>
      </c>
    </row>
    <row r="19" customFormat="false" ht="30" hidden="false" customHeight="true" outlineLevel="0" collapsed="false">
      <c r="A19" s="15" t="s">
        <v>78</v>
      </c>
      <c r="B19" s="16" t="s">
        <v>79</v>
      </c>
      <c r="C19" s="17" t="s">
        <v>20</v>
      </c>
      <c r="D19" s="17" t="s">
        <v>80</v>
      </c>
      <c r="E19" s="17" t="s">
        <v>81</v>
      </c>
      <c r="F19" s="14" t="s">
        <v>23</v>
      </c>
    </row>
    <row r="20" customFormat="false" ht="30" hidden="false" customHeight="true" outlineLevel="0" collapsed="false">
      <c r="A20" s="11" t="s">
        <v>82</v>
      </c>
      <c r="B20" s="12" t="s">
        <v>79</v>
      </c>
      <c r="C20" s="13" t="s">
        <v>25</v>
      </c>
      <c r="D20" s="13" t="s">
        <v>83</v>
      </c>
      <c r="E20" s="13" t="s">
        <v>84</v>
      </c>
      <c r="F20" s="14" t="s">
        <v>23</v>
      </c>
    </row>
    <row r="21" customFormat="false" ht="30" hidden="false" customHeight="true" outlineLevel="0" collapsed="false">
      <c r="A21" s="15" t="s">
        <v>85</v>
      </c>
      <c r="B21" s="16" t="s">
        <v>79</v>
      </c>
      <c r="C21" s="17" t="s">
        <v>43</v>
      </c>
      <c r="D21" s="17" t="s">
        <v>86</v>
      </c>
      <c r="E21" s="17" t="s">
        <v>87</v>
      </c>
      <c r="F21" s="14" t="s">
        <v>23</v>
      </c>
    </row>
    <row r="22" customFormat="false" ht="30" hidden="false" customHeight="true" outlineLevel="0" collapsed="false">
      <c r="A22" s="11" t="s">
        <v>88</v>
      </c>
      <c r="B22" s="12" t="s">
        <v>89</v>
      </c>
      <c r="C22" s="13" t="s">
        <v>20</v>
      </c>
      <c r="D22" s="12" t="s">
        <v>90</v>
      </c>
      <c r="E22" s="13" t="s">
        <v>91</v>
      </c>
      <c r="F22" s="14" t="s">
        <v>23</v>
      </c>
    </row>
    <row r="23" customFormat="false" ht="30" hidden="false" customHeight="true" outlineLevel="0" collapsed="false">
      <c r="A23" s="15" t="s">
        <v>92</v>
      </c>
      <c r="B23" s="16" t="s">
        <v>89</v>
      </c>
      <c r="C23" s="17" t="s">
        <v>20</v>
      </c>
      <c r="D23" s="16" t="s">
        <v>93</v>
      </c>
      <c r="E23" s="17" t="s">
        <v>94</v>
      </c>
      <c r="F23" s="14" t="s">
        <v>23</v>
      </c>
    </row>
    <row r="24" customFormat="false" ht="30" hidden="false" customHeight="true" outlineLevel="0" collapsed="false">
      <c r="A24" s="11" t="s">
        <v>95</v>
      </c>
      <c r="B24" s="12" t="s">
        <v>89</v>
      </c>
      <c r="C24" s="13" t="s">
        <v>20</v>
      </c>
      <c r="D24" s="12" t="s">
        <v>96</v>
      </c>
      <c r="E24" s="13" t="s">
        <v>97</v>
      </c>
      <c r="F24" s="14" t="s">
        <v>23</v>
      </c>
    </row>
    <row r="25" customFormat="false" ht="30" hidden="false" customHeight="true" outlineLevel="0" collapsed="false">
      <c r="A25" s="15" t="s">
        <v>98</v>
      </c>
      <c r="B25" s="16" t="s">
        <v>89</v>
      </c>
      <c r="C25" s="17" t="s">
        <v>20</v>
      </c>
      <c r="D25" s="16" t="s">
        <v>99</v>
      </c>
      <c r="E25" s="17" t="s">
        <v>100</v>
      </c>
      <c r="F25" s="14" t="s">
        <v>23</v>
      </c>
    </row>
    <row r="26" customFormat="false" ht="30" hidden="false" customHeight="true" outlineLevel="0" collapsed="false">
      <c r="A26" s="11" t="s">
        <v>101</v>
      </c>
      <c r="B26" s="12" t="s">
        <v>89</v>
      </c>
      <c r="C26" s="13" t="s">
        <v>25</v>
      </c>
      <c r="D26" s="13" t="s">
        <v>102</v>
      </c>
      <c r="E26" s="13" t="s">
        <v>103</v>
      </c>
      <c r="F26" s="14" t="s">
        <v>23</v>
      </c>
    </row>
    <row r="27" customFormat="false" ht="30" hidden="false" customHeight="true" outlineLevel="0" collapsed="false">
      <c r="A27" s="15" t="s">
        <v>104</v>
      </c>
      <c r="B27" s="16" t="s">
        <v>89</v>
      </c>
      <c r="C27" s="17" t="s">
        <v>25</v>
      </c>
      <c r="D27" s="17" t="s">
        <v>105</v>
      </c>
      <c r="E27" s="17" t="s">
        <v>106</v>
      </c>
      <c r="F27" s="14" t="s">
        <v>23</v>
      </c>
    </row>
    <row r="28" customFormat="false" ht="30" hidden="false" customHeight="true" outlineLevel="0" collapsed="false">
      <c r="A28" s="11" t="s">
        <v>107</v>
      </c>
      <c r="B28" s="12" t="s">
        <v>89</v>
      </c>
      <c r="C28" s="13" t="s">
        <v>32</v>
      </c>
      <c r="D28" s="12" t="s">
        <v>108</v>
      </c>
      <c r="E28" s="13" t="s">
        <v>109</v>
      </c>
      <c r="F28" s="14" t="s">
        <v>23</v>
      </c>
    </row>
    <row r="29" customFormat="false" ht="30" hidden="false" customHeight="true" outlineLevel="0" collapsed="false">
      <c r="A29" s="15" t="s">
        <v>110</v>
      </c>
      <c r="B29" s="16" t="s">
        <v>111</v>
      </c>
      <c r="C29" s="17" t="s">
        <v>20</v>
      </c>
      <c r="D29" s="16" t="s">
        <v>112</v>
      </c>
      <c r="E29" s="17" t="s">
        <v>113</v>
      </c>
      <c r="F29" s="14" t="s">
        <v>23</v>
      </c>
    </row>
    <row r="30" customFormat="false" ht="30" hidden="false" customHeight="true" outlineLevel="0" collapsed="false">
      <c r="A30" s="11" t="s">
        <v>114</v>
      </c>
      <c r="B30" s="12" t="s">
        <v>111</v>
      </c>
      <c r="C30" s="13" t="s">
        <v>32</v>
      </c>
      <c r="D30" s="18" t="s">
        <v>115</v>
      </c>
      <c r="E30" s="13" t="s">
        <v>116</v>
      </c>
      <c r="F30" s="14" t="s">
        <v>23</v>
      </c>
    </row>
    <row r="31" customFormat="false" ht="30" hidden="false" customHeight="true" outlineLevel="0" collapsed="false">
      <c r="A31" s="15" t="s">
        <v>117</v>
      </c>
      <c r="B31" s="16" t="s">
        <v>118</v>
      </c>
      <c r="C31" s="17" t="s">
        <v>20</v>
      </c>
      <c r="D31" s="17" t="s">
        <v>119</v>
      </c>
      <c r="E31" s="17" t="s">
        <v>120</v>
      </c>
      <c r="F31" s="14" t="s">
        <v>23</v>
      </c>
    </row>
    <row r="32" customFormat="false" ht="30" hidden="false" customHeight="true" outlineLevel="0" collapsed="false">
      <c r="A32" s="11" t="s">
        <v>121</v>
      </c>
      <c r="B32" s="12" t="s">
        <v>118</v>
      </c>
      <c r="C32" s="13" t="s">
        <v>25</v>
      </c>
      <c r="D32" s="13" t="s">
        <v>122</v>
      </c>
      <c r="E32" s="13" t="s">
        <v>123</v>
      </c>
      <c r="F32" s="14" t="s">
        <v>23</v>
      </c>
    </row>
    <row r="33" customFormat="false" ht="30" hidden="false" customHeight="true" outlineLevel="0" collapsed="false">
      <c r="A33" s="15" t="s">
        <v>124</v>
      </c>
      <c r="B33" s="16" t="s">
        <v>125</v>
      </c>
      <c r="C33" s="17" t="s">
        <v>20</v>
      </c>
      <c r="D33" s="16" t="s">
        <v>126</v>
      </c>
      <c r="E33" s="17" t="s">
        <v>127</v>
      </c>
      <c r="F33" s="14" t="s">
        <v>23</v>
      </c>
    </row>
    <row r="34" customFormat="false" ht="30" hidden="false" customHeight="true" outlineLevel="0" collapsed="false">
      <c r="A34" s="11" t="s">
        <v>128</v>
      </c>
      <c r="B34" s="12" t="s">
        <v>125</v>
      </c>
      <c r="C34" s="13" t="s">
        <v>25</v>
      </c>
      <c r="D34" s="12" t="s">
        <v>129</v>
      </c>
      <c r="E34" s="13" t="s">
        <v>130</v>
      </c>
      <c r="F34" s="14" t="s">
        <v>23</v>
      </c>
    </row>
    <row r="35" customFormat="false" ht="30" hidden="false" customHeight="true" outlineLevel="0" collapsed="false">
      <c r="A35" s="15" t="s">
        <v>131</v>
      </c>
      <c r="B35" s="16" t="s">
        <v>132</v>
      </c>
      <c r="C35" s="17" t="s">
        <v>133</v>
      </c>
      <c r="D35" s="17" t="s">
        <v>134</v>
      </c>
      <c r="E35" s="17" t="s">
        <v>135</v>
      </c>
      <c r="F35" s="14" t="s">
        <v>136</v>
      </c>
    </row>
    <row r="36" customFormat="false" ht="30" hidden="false" customHeight="true" outlineLevel="0" collapsed="false">
      <c r="A36" s="11" t="s">
        <v>137</v>
      </c>
      <c r="B36" s="12" t="s">
        <v>132</v>
      </c>
      <c r="C36" s="13" t="s">
        <v>133</v>
      </c>
      <c r="D36" s="13" t="s">
        <v>134</v>
      </c>
      <c r="E36" s="13" t="s">
        <v>135</v>
      </c>
      <c r="F36" s="14" t="s">
        <v>136</v>
      </c>
    </row>
    <row r="37" customFormat="false" ht="30" hidden="false" customHeight="true" outlineLevel="0" collapsed="false">
      <c r="A37" s="15" t="s">
        <v>138</v>
      </c>
      <c r="B37" s="16" t="s">
        <v>139</v>
      </c>
      <c r="C37" s="17" t="s">
        <v>20</v>
      </c>
      <c r="D37" s="17" t="s">
        <v>140</v>
      </c>
      <c r="E37" s="17" t="s">
        <v>141</v>
      </c>
      <c r="F37" s="14" t="s">
        <v>23</v>
      </c>
    </row>
    <row r="38" customFormat="false" ht="30" hidden="false" customHeight="true" outlineLevel="0" collapsed="false">
      <c r="A38" s="11" t="s">
        <v>142</v>
      </c>
      <c r="B38" s="12" t="s">
        <v>139</v>
      </c>
      <c r="C38" s="13" t="s">
        <v>20</v>
      </c>
      <c r="D38" s="13" t="s">
        <v>143</v>
      </c>
      <c r="E38" s="13" t="s">
        <v>144</v>
      </c>
      <c r="F38" s="14" t="s">
        <v>23</v>
      </c>
    </row>
    <row r="39" customFormat="false" ht="30" hidden="false" customHeight="true" outlineLevel="0" collapsed="false">
      <c r="A39" s="15" t="s">
        <v>145</v>
      </c>
      <c r="B39" s="16" t="s">
        <v>139</v>
      </c>
      <c r="C39" s="17" t="s">
        <v>25</v>
      </c>
      <c r="D39" s="17" t="s">
        <v>146</v>
      </c>
      <c r="E39" s="17" t="s">
        <v>147</v>
      </c>
      <c r="F39" s="14" t="s">
        <v>23</v>
      </c>
    </row>
    <row r="40" customFormat="false" ht="30" hidden="false" customHeight="true" outlineLevel="0" collapsed="false">
      <c r="A40" s="11" t="s">
        <v>148</v>
      </c>
      <c r="B40" s="12" t="s">
        <v>139</v>
      </c>
      <c r="C40" s="13" t="s">
        <v>20</v>
      </c>
      <c r="D40" s="12" t="s">
        <v>149</v>
      </c>
      <c r="E40" s="13" t="s">
        <v>150</v>
      </c>
      <c r="F40" s="14" t="s">
        <v>23</v>
      </c>
    </row>
    <row r="41" customFormat="false" ht="30" hidden="false" customHeight="true" outlineLevel="0" collapsed="false">
      <c r="A41" s="15" t="s">
        <v>151</v>
      </c>
      <c r="B41" s="16" t="s">
        <v>152</v>
      </c>
      <c r="C41" s="17" t="s">
        <v>20</v>
      </c>
      <c r="D41" s="17" t="s">
        <v>153</v>
      </c>
      <c r="E41" s="17" t="s">
        <v>154</v>
      </c>
      <c r="F41" s="14" t="s">
        <v>23</v>
      </c>
    </row>
    <row r="42" customFormat="false" ht="30" hidden="false" customHeight="true" outlineLevel="0" collapsed="false">
      <c r="A42" s="11" t="s">
        <v>155</v>
      </c>
      <c r="B42" s="12" t="s">
        <v>152</v>
      </c>
      <c r="C42" s="13" t="s">
        <v>20</v>
      </c>
      <c r="D42" s="13" t="s">
        <v>156</v>
      </c>
      <c r="E42" s="13" t="s">
        <v>157</v>
      </c>
      <c r="F42" s="14" t="s">
        <v>23</v>
      </c>
    </row>
    <row r="43" customFormat="false" ht="30" hidden="false" customHeight="true" outlineLevel="0" collapsed="false">
      <c r="A43" s="15" t="s">
        <v>158</v>
      </c>
      <c r="B43" s="16" t="s">
        <v>159</v>
      </c>
      <c r="C43" s="17" t="s">
        <v>20</v>
      </c>
      <c r="D43" s="17" t="s">
        <v>160</v>
      </c>
      <c r="E43" s="17" t="s">
        <v>161</v>
      </c>
      <c r="F43" s="14" t="s">
        <v>23</v>
      </c>
    </row>
    <row r="44" customFormat="false" ht="30" hidden="false" customHeight="true" outlineLevel="0" collapsed="false">
      <c r="A44" s="11" t="s">
        <v>162</v>
      </c>
      <c r="B44" s="12" t="s">
        <v>163</v>
      </c>
      <c r="C44" s="13" t="s">
        <v>20</v>
      </c>
      <c r="D44" s="13" t="s">
        <v>164</v>
      </c>
      <c r="E44" s="13" t="s">
        <v>165</v>
      </c>
      <c r="F44" s="14" t="s">
        <v>23</v>
      </c>
    </row>
    <row r="45" customFormat="false" ht="30" hidden="false" customHeight="true" outlineLevel="0" collapsed="false">
      <c r="A45" s="15" t="s">
        <v>166</v>
      </c>
      <c r="B45" s="16" t="s">
        <v>163</v>
      </c>
      <c r="C45" s="17" t="s">
        <v>25</v>
      </c>
      <c r="D45" s="17" t="s">
        <v>167</v>
      </c>
      <c r="E45" s="19" t="s">
        <v>168</v>
      </c>
      <c r="F45" s="14" t="s">
        <v>23</v>
      </c>
    </row>
    <row r="46" customFormat="false" ht="30" hidden="false" customHeight="true" outlineLevel="0" collapsed="false">
      <c r="A46" s="11" t="s">
        <v>169</v>
      </c>
      <c r="B46" s="12" t="s">
        <v>170</v>
      </c>
      <c r="C46" s="13" t="s">
        <v>20</v>
      </c>
      <c r="D46" s="12" t="s">
        <v>171</v>
      </c>
      <c r="E46" s="13" t="s">
        <v>172</v>
      </c>
      <c r="F46" s="14" t="s">
        <v>23</v>
      </c>
    </row>
    <row r="47" customFormat="false" ht="30" hidden="false" customHeight="true" outlineLevel="0" collapsed="false">
      <c r="A47" s="15" t="s">
        <v>173</v>
      </c>
      <c r="B47" s="16" t="s">
        <v>170</v>
      </c>
      <c r="C47" s="17" t="s">
        <v>20</v>
      </c>
      <c r="D47" s="16" t="s">
        <v>174</v>
      </c>
      <c r="E47" s="17" t="s">
        <v>175</v>
      </c>
      <c r="F47" s="14" t="s">
        <v>136</v>
      </c>
    </row>
    <row r="48" customFormat="false" ht="30" hidden="false" customHeight="true" outlineLevel="0" collapsed="false">
      <c r="A48" s="11" t="s">
        <v>176</v>
      </c>
      <c r="B48" s="12" t="s">
        <v>177</v>
      </c>
      <c r="C48" s="13" t="s">
        <v>20</v>
      </c>
      <c r="D48" s="12" t="s">
        <v>178</v>
      </c>
      <c r="E48" s="12" t="s">
        <v>179</v>
      </c>
      <c r="F48" s="14" t="s">
        <v>23</v>
      </c>
    </row>
    <row r="49" customFormat="false" ht="30" hidden="false" customHeight="true" outlineLevel="0" collapsed="false">
      <c r="A49" s="15" t="s">
        <v>180</v>
      </c>
      <c r="B49" s="16" t="s">
        <v>177</v>
      </c>
      <c r="C49" s="17" t="s">
        <v>25</v>
      </c>
      <c r="D49" s="16" t="s">
        <v>181</v>
      </c>
      <c r="E49" s="17" t="s">
        <v>182</v>
      </c>
      <c r="F49" s="14" t="s">
        <v>23</v>
      </c>
    </row>
    <row r="50" customFormat="false" ht="30" hidden="false" customHeight="true" outlineLevel="0" collapsed="false">
      <c r="A50" s="11" t="s">
        <v>183</v>
      </c>
      <c r="B50" s="12" t="s">
        <v>184</v>
      </c>
      <c r="C50" s="13" t="s">
        <v>20</v>
      </c>
      <c r="D50" s="12" t="s">
        <v>185</v>
      </c>
      <c r="E50" s="13" t="s">
        <v>186</v>
      </c>
      <c r="F50" s="14" t="s">
        <v>136</v>
      </c>
    </row>
    <row r="51" customFormat="false" ht="30" hidden="false" customHeight="true" outlineLevel="0" collapsed="false">
      <c r="A51" s="15" t="s">
        <v>187</v>
      </c>
      <c r="B51" s="16" t="s">
        <v>188</v>
      </c>
      <c r="C51" s="17" t="s">
        <v>20</v>
      </c>
      <c r="D51" s="16" t="s">
        <v>189</v>
      </c>
      <c r="E51" s="17" t="s">
        <v>190</v>
      </c>
      <c r="F51" s="14" t="s">
        <v>23</v>
      </c>
    </row>
    <row r="52" customFormat="false" ht="30" hidden="false" customHeight="true" outlineLevel="0" collapsed="false">
      <c r="A52" s="11" t="s">
        <v>191</v>
      </c>
      <c r="B52" s="12" t="s">
        <v>188</v>
      </c>
      <c r="C52" s="13" t="s">
        <v>25</v>
      </c>
      <c r="D52" s="20" t="s">
        <v>192</v>
      </c>
      <c r="E52" s="13" t="s">
        <v>130</v>
      </c>
      <c r="F52" s="14" t="s">
        <v>23</v>
      </c>
    </row>
    <row r="53" customFormat="false" ht="30" hidden="false" customHeight="true" outlineLevel="0" collapsed="false">
      <c r="A53" s="15" t="s">
        <v>193</v>
      </c>
      <c r="B53" s="16" t="s">
        <v>194</v>
      </c>
      <c r="C53" s="17" t="s">
        <v>20</v>
      </c>
      <c r="D53" s="16" t="s">
        <v>195</v>
      </c>
      <c r="E53" s="17" t="s">
        <v>196</v>
      </c>
      <c r="F53" s="14" t="s">
        <v>23</v>
      </c>
    </row>
    <row r="54" customFormat="false" ht="30" hidden="false" customHeight="true" outlineLevel="0" collapsed="false">
      <c r="A54" s="11" t="s">
        <v>197</v>
      </c>
      <c r="B54" s="12" t="s">
        <v>194</v>
      </c>
      <c r="C54" s="13" t="s">
        <v>32</v>
      </c>
      <c r="D54" s="12" t="s">
        <v>198</v>
      </c>
      <c r="E54" s="13" t="s">
        <v>116</v>
      </c>
      <c r="F54" s="14" t="s">
        <v>23</v>
      </c>
    </row>
    <row r="55" customFormat="false" ht="30" hidden="false" customHeight="true" outlineLevel="0" collapsed="false">
      <c r="A55" s="15" t="s">
        <v>199</v>
      </c>
      <c r="B55" s="16" t="s">
        <v>200</v>
      </c>
      <c r="C55" s="17" t="s">
        <v>20</v>
      </c>
      <c r="D55" s="16" t="s">
        <v>201</v>
      </c>
      <c r="E55" s="17" t="s">
        <v>202</v>
      </c>
      <c r="F55" s="14" t="s">
        <v>23</v>
      </c>
    </row>
    <row r="56" customFormat="false" ht="30" hidden="false" customHeight="true" outlineLevel="0" collapsed="false">
      <c r="A56" s="11" t="s">
        <v>203</v>
      </c>
      <c r="B56" s="12" t="s">
        <v>204</v>
      </c>
      <c r="C56" s="13" t="s">
        <v>20</v>
      </c>
      <c r="D56" s="12" t="s">
        <v>205</v>
      </c>
      <c r="E56" s="13" t="s">
        <v>206</v>
      </c>
      <c r="F56" s="14" t="s">
        <v>23</v>
      </c>
    </row>
  </sheetData>
  <autoFilter ref="A1:E31"/>
  <dataValidations count="1">
    <dataValidation allowBlank="true" errorStyle="stop" operator="between" showDropDown="false" showErrorMessage="true" showInputMessage="true" sqref="F1:F1056" type="list">
      <formula1>テストマトリックス!$A$16:$A$18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pane xSplit="0" ySplit="1" topLeftCell="A5" activePane="bottomLeft" state="frozen"/>
      <selection pane="topLeft" activeCell="G1" activeCellId="0" sqref="G1"/>
      <selection pane="bottomLeft" activeCell="G1" activeCellId="0" sqref="G1"/>
    </sheetView>
  </sheetViews>
  <sheetFormatPr defaultColWidth="18.00390625" defaultRowHeight="13.5" customHeight="false" zeroHeight="false" outlineLevelRow="0" outlineLevelCol="0"/>
  <cols>
    <col collapsed="false" customWidth="true" hidden="false" outlineLevel="0" max="1" min="1" style="7" width="6.67"/>
    <col collapsed="false" customWidth="true" hidden="false" outlineLevel="0" max="2" min="2" style="7" width="9.53"/>
    <col collapsed="false" customWidth="true" hidden="false" outlineLevel="0" max="3" min="3" style="7" width="18.88"/>
    <col collapsed="false" customWidth="true" hidden="false" outlineLevel="0" max="4" min="4" style="7" width="14.73"/>
    <col collapsed="false" customWidth="true" hidden="false" outlineLevel="0" max="5" min="5" style="7" width="8.02"/>
    <col collapsed="false" customWidth="true" hidden="false" outlineLevel="0" max="6" min="6" style="7" width="28.85"/>
    <col collapsed="false" customWidth="true" hidden="false" outlineLevel="0" max="7" min="7" style="21" width="9.7"/>
    <col collapsed="false" customWidth="false" hidden="false" outlineLevel="0" max="16381" min="11" style="7" width="18"/>
    <col collapsed="false" customWidth="true" hidden="false" outlineLevel="0" max="16384" min="16382" style="7" width="10.16"/>
  </cols>
  <sheetData>
    <row r="1" customFormat="false" ht="19.5" hidden="false" customHeight="true" outlineLevel="0" collapsed="false">
      <c r="A1" s="22" t="s">
        <v>207</v>
      </c>
      <c r="B1" s="22" t="s">
        <v>208</v>
      </c>
      <c r="C1" s="22" t="s">
        <v>209</v>
      </c>
      <c r="D1" s="22" t="s">
        <v>210</v>
      </c>
      <c r="E1" s="22" t="s">
        <v>3</v>
      </c>
      <c r="F1" s="22" t="s">
        <v>211</v>
      </c>
      <c r="G1" s="22" t="s">
        <v>212</v>
      </c>
    </row>
    <row r="2" customFormat="false" ht="42" hidden="false" customHeight="true" outlineLevel="0" collapsed="false">
      <c r="A2" s="23" t="s">
        <v>213</v>
      </c>
      <c r="B2" s="24" t="s">
        <v>214</v>
      </c>
      <c r="C2" s="24" t="s">
        <v>215</v>
      </c>
      <c r="D2" s="16"/>
      <c r="E2" s="17" t="s">
        <v>20</v>
      </c>
      <c r="F2" s="25" t="s">
        <v>216</v>
      </c>
      <c r="G2" s="26" t="s">
        <v>23</v>
      </c>
    </row>
    <row r="3" customFormat="false" ht="42" hidden="false" customHeight="true" outlineLevel="0" collapsed="false">
      <c r="A3" s="23"/>
      <c r="B3" s="23"/>
      <c r="C3" s="23"/>
      <c r="D3" s="16"/>
      <c r="E3" s="17" t="s">
        <v>25</v>
      </c>
      <c r="F3" s="25" t="s">
        <v>217</v>
      </c>
      <c r="G3" s="26" t="s">
        <v>23</v>
      </c>
    </row>
    <row r="4" customFormat="false" ht="42" hidden="false" customHeight="true" outlineLevel="0" collapsed="false">
      <c r="A4" s="23"/>
      <c r="B4" s="23"/>
      <c r="C4" s="23"/>
      <c r="D4" s="16"/>
      <c r="E4" s="17" t="s">
        <v>43</v>
      </c>
      <c r="F4" s="25" t="s">
        <v>218</v>
      </c>
      <c r="G4" s="26" t="s">
        <v>23</v>
      </c>
    </row>
    <row r="5" customFormat="false" ht="42" hidden="false" customHeight="true" outlineLevel="0" collapsed="false">
      <c r="A5" s="23"/>
      <c r="B5" s="23"/>
      <c r="C5" s="23"/>
      <c r="D5" s="16"/>
      <c r="E5" s="17" t="s">
        <v>32</v>
      </c>
      <c r="F5" s="25" t="s">
        <v>219</v>
      </c>
      <c r="G5" s="26" t="s">
        <v>23</v>
      </c>
    </row>
    <row r="6" customFormat="false" ht="42" hidden="false" customHeight="true" outlineLevel="0" collapsed="false">
      <c r="A6" s="23" t="s">
        <v>220</v>
      </c>
      <c r="B6" s="24" t="s">
        <v>221</v>
      </c>
      <c r="C6" s="24" t="s">
        <v>222</v>
      </c>
      <c r="D6" s="16"/>
      <c r="E6" s="17" t="s">
        <v>20</v>
      </c>
      <c r="F6" s="25" t="s">
        <v>223</v>
      </c>
      <c r="G6" s="26" t="s">
        <v>23</v>
      </c>
    </row>
    <row r="7" customFormat="false" ht="42" hidden="false" customHeight="true" outlineLevel="0" collapsed="false">
      <c r="A7" s="23"/>
      <c r="B7" s="23"/>
      <c r="C7" s="23"/>
      <c r="D7" s="16"/>
      <c r="E7" s="17" t="s">
        <v>25</v>
      </c>
      <c r="F7" s="25" t="s">
        <v>224</v>
      </c>
      <c r="G7" s="26" t="s">
        <v>23</v>
      </c>
    </row>
    <row r="8" customFormat="false" ht="42" hidden="false" customHeight="true" outlineLevel="0" collapsed="false">
      <c r="A8" s="23"/>
      <c r="B8" s="23"/>
      <c r="C8" s="23"/>
      <c r="D8" s="16"/>
      <c r="E8" s="17" t="s">
        <v>43</v>
      </c>
      <c r="F8" s="25" t="s">
        <v>225</v>
      </c>
      <c r="G8" s="26" t="s">
        <v>23</v>
      </c>
    </row>
    <row r="9" customFormat="false" ht="42" hidden="false" customHeight="true" outlineLevel="0" collapsed="false">
      <c r="A9" s="23"/>
      <c r="B9" s="23"/>
      <c r="C9" s="23"/>
      <c r="D9" s="16"/>
      <c r="E9" s="17" t="s">
        <v>32</v>
      </c>
      <c r="F9" s="25" t="s">
        <v>226</v>
      </c>
      <c r="G9" s="26" t="s">
        <v>23</v>
      </c>
    </row>
    <row r="10" customFormat="false" ht="42" hidden="false" customHeight="true" outlineLevel="0" collapsed="false">
      <c r="A10" s="23" t="s">
        <v>227</v>
      </c>
      <c r="B10" s="24" t="s">
        <v>228</v>
      </c>
      <c r="C10" s="24" t="s">
        <v>229</v>
      </c>
      <c r="D10" s="16"/>
      <c r="E10" s="17" t="s">
        <v>20</v>
      </c>
      <c r="F10" s="25" t="s">
        <v>230</v>
      </c>
      <c r="G10" s="26" t="s">
        <v>23</v>
      </c>
    </row>
    <row r="11" customFormat="false" ht="42" hidden="false" customHeight="true" outlineLevel="0" collapsed="false">
      <c r="A11" s="23"/>
      <c r="B11" s="23"/>
      <c r="C11" s="23"/>
      <c r="D11" s="16"/>
      <c r="E11" s="17" t="s">
        <v>25</v>
      </c>
      <c r="F11" s="25" t="s">
        <v>231</v>
      </c>
      <c r="G11" s="26" t="s">
        <v>23</v>
      </c>
    </row>
    <row r="12" customFormat="false" ht="42" hidden="false" customHeight="true" outlineLevel="0" collapsed="false">
      <c r="A12" s="23"/>
      <c r="B12" s="23"/>
      <c r="C12" s="23"/>
      <c r="D12" s="16"/>
      <c r="E12" s="17" t="s">
        <v>43</v>
      </c>
      <c r="F12" s="25" t="s">
        <v>232</v>
      </c>
      <c r="G12" s="26" t="s">
        <v>23</v>
      </c>
    </row>
    <row r="13" customFormat="false" ht="42" hidden="false" customHeight="true" outlineLevel="0" collapsed="false">
      <c r="A13" s="23"/>
      <c r="B13" s="23"/>
      <c r="C13" s="23"/>
      <c r="D13" s="16"/>
      <c r="E13" s="17" t="s">
        <v>32</v>
      </c>
      <c r="F13" s="25" t="s">
        <v>233</v>
      </c>
      <c r="G13" s="26" t="s">
        <v>23</v>
      </c>
    </row>
    <row r="14" customFormat="false" ht="42" hidden="false" customHeight="true" outlineLevel="0" collapsed="false">
      <c r="A14" s="23" t="s">
        <v>234</v>
      </c>
      <c r="B14" s="24" t="s">
        <v>235</v>
      </c>
      <c r="C14" s="24" t="s">
        <v>236</v>
      </c>
      <c r="D14" s="16"/>
      <c r="E14" s="17" t="s">
        <v>20</v>
      </c>
      <c r="F14" s="25" t="s">
        <v>237</v>
      </c>
      <c r="G14" s="26" t="s">
        <v>23</v>
      </c>
    </row>
    <row r="15" customFormat="false" ht="42" hidden="false" customHeight="true" outlineLevel="0" collapsed="false">
      <c r="A15" s="23"/>
      <c r="B15" s="23"/>
      <c r="C15" s="23"/>
      <c r="D15" s="16"/>
      <c r="E15" s="17" t="s">
        <v>25</v>
      </c>
      <c r="F15" s="25" t="s">
        <v>238</v>
      </c>
      <c r="G15" s="26" t="s">
        <v>23</v>
      </c>
    </row>
    <row r="16" customFormat="false" ht="42" hidden="false" customHeight="true" outlineLevel="0" collapsed="false">
      <c r="A16" s="23"/>
      <c r="B16" s="23"/>
      <c r="C16" s="23"/>
      <c r="D16" s="16"/>
      <c r="E16" s="17" t="s">
        <v>43</v>
      </c>
      <c r="F16" s="25" t="s">
        <v>239</v>
      </c>
      <c r="G16" s="26" t="s">
        <v>23</v>
      </c>
    </row>
    <row r="17" customFormat="false" ht="42" hidden="false" customHeight="true" outlineLevel="0" collapsed="false">
      <c r="A17" s="23"/>
      <c r="B17" s="23"/>
      <c r="C17" s="23"/>
      <c r="D17" s="16"/>
      <c r="E17" s="17" t="s">
        <v>32</v>
      </c>
      <c r="F17" s="25" t="s">
        <v>240</v>
      </c>
      <c r="G17" s="26" t="s">
        <v>23</v>
      </c>
    </row>
    <row r="18" customFormat="false" ht="42" hidden="false" customHeight="true" outlineLevel="0" collapsed="false">
      <c r="A18" s="23" t="s">
        <v>241</v>
      </c>
      <c r="B18" s="24" t="s">
        <v>242</v>
      </c>
      <c r="C18" s="24" t="s">
        <v>243</v>
      </c>
      <c r="D18" s="16"/>
      <c r="E18" s="17" t="s">
        <v>20</v>
      </c>
      <c r="F18" s="25" t="s">
        <v>244</v>
      </c>
      <c r="G18" s="26" t="s">
        <v>23</v>
      </c>
    </row>
    <row r="19" customFormat="false" ht="42" hidden="false" customHeight="true" outlineLevel="0" collapsed="false">
      <c r="A19" s="23"/>
      <c r="B19" s="23"/>
      <c r="C19" s="23"/>
      <c r="D19" s="16"/>
      <c r="E19" s="17" t="s">
        <v>25</v>
      </c>
      <c r="F19" s="25" t="s">
        <v>245</v>
      </c>
      <c r="G19" s="26" t="s">
        <v>23</v>
      </c>
    </row>
    <row r="20" customFormat="false" ht="42" hidden="false" customHeight="true" outlineLevel="0" collapsed="false">
      <c r="A20" s="23"/>
      <c r="B20" s="23"/>
      <c r="C20" s="23"/>
      <c r="D20" s="16"/>
      <c r="E20" s="17" t="s">
        <v>43</v>
      </c>
      <c r="F20" s="25" t="s">
        <v>246</v>
      </c>
      <c r="G20" s="26" t="s">
        <v>247</v>
      </c>
    </row>
    <row r="21" customFormat="false" ht="42" hidden="false" customHeight="true" outlineLevel="0" collapsed="false">
      <c r="A21" s="23"/>
      <c r="B21" s="23"/>
      <c r="C21" s="23"/>
      <c r="D21" s="16"/>
      <c r="E21" s="17" t="s">
        <v>32</v>
      </c>
      <c r="F21" s="25" t="s">
        <v>248</v>
      </c>
      <c r="G21" s="26" t="s">
        <v>247</v>
      </c>
    </row>
    <row r="22" customFormat="false" ht="42" hidden="false" customHeight="true" outlineLevel="0" collapsed="false">
      <c r="A22" s="23" t="s">
        <v>249</v>
      </c>
      <c r="B22" s="24" t="s">
        <v>250</v>
      </c>
      <c r="C22" s="24" t="s">
        <v>251</v>
      </c>
      <c r="D22" s="16"/>
      <c r="E22" s="17" t="s">
        <v>20</v>
      </c>
      <c r="F22" s="25" t="s">
        <v>252</v>
      </c>
      <c r="G22" s="26" t="s">
        <v>23</v>
      </c>
    </row>
    <row r="23" customFormat="false" ht="42" hidden="false" customHeight="true" outlineLevel="0" collapsed="false">
      <c r="A23" s="23"/>
      <c r="B23" s="23"/>
      <c r="C23" s="23"/>
      <c r="D23" s="16"/>
      <c r="E23" s="17" t="s">
        <v>25</v>
      </c>
      <c r="F23" s="25" t="s">
        <v>253</v>
      </c>
      <c r="G23" s="26" t="s">
        <v>23</v>
      </c>
    </row>
    <row r="24" customFormat="false" ht="42" hidden="false" customHeight="true" outlineLevel="0" collapsed="false">
      <c r="A24" s="23"/>
      <c r="B24" s="23"/>
      <c r="C24" s="23"/>
      <c r="D24" s="16"/>
      <c r="E24" s="17" t="s">
        <v>43</v>
      </c>
      <c r="F24" s="25" t="s">
        <v>254</v>
      </c>
      <c r="G24" s="26" t="s">
        <v>23</v>
      </c>
    </row>
    <row r="25" customFormat="false" ht="42" hidden="false" customHeight="true" outlineLevel="0" collapsed="false">
      <c r="A25" s="23"/>
      <c r="B25" s="23"/>
      <c r="C25" s="23"/>
      <c r="D25" s="16"/>
      <c r="E25" s="17" t="s">
        <v>32</v>
      </c>
      <c r="F25" s="25" t="s">
        <v>255</v>
      </c>
      <c r="G25" s="26" t="s">
        <v>247</v>
      </c>
    </row>
    <row r="26" customFormat="false" ht="42" hidden="false" customHeight="true" outlineLevel="0" collapsed="false">
      <c r="A26" s="23" t="s">
        <v>256</v>
      </c>
      <c r="B26" s="24" t="s">
        <v>257</v>
      </c>
      <c r="C26" s="24" t="s">
        <v>258</v>
      </c>
      <c r="D26" s="16"/>
      <c r="E26" s="17" t="s">
        <v>20</v>
      </c>
      <c r="F26" s="25" t="s">
        <v>259</v>
      </c>
      <c r="G26" s="26" t="s">
        <v>23</v>
      </c>
    </row>
    <row r="27" customFormat="false" ht="42" hidden="false" customHeight="true" outlineLevel="0" collapsed="false">
      <c r="A27" s="23"/>
      <c r="B27" s="23"/>
      <c r="C27" s="23"/>
      <c r="D27" s="16"/>
      <c r="E27" s="17" t="s">
        <v>25</v>
      </c>
      <c r="F27" s="25" t="s">
        <v>260</v>
      </c>
      <c r="G27" s="26" t="s">
        <v>23</v>
      </c>
    </row>
    <row r="28" customFormat="false" ht="42" hidden="false" customHeight="true" outlineLevel="0" collapsed="false">
      <c r="A28" s="23"/>
      <c r="B28" s="23"/>
      <c r="C28" s="23"/>
      <c r="D28" s="16"/>
      <c r="E28" s="17" t="s">
        <v>43</v>
      </c>
      <c r="F28" s="25" t="s">
        <v>261</v>
      </c>
      <c r="G28" s="26" t="s">
        <v>23</v>
      </c>
    </row>
    <row r="29" customFormat="false" ht="42" hidden="false" customHeight="true" outlineLevel="0" collapsed="false">
      <c r="A29" s="23"/>
      <c r="B29" s="23"/>
      <c r="C29" s="23"/>
      <c r="D29" s="16"/>
      <c r="E29" s="17" t="s">
        <v>32</v>
      </c>
      <c r="F29" s="25" t="s">
        <v>262</v>
      </c>
      <c r="G29" s="26" t="s">
        <v>23</v>
      </c>
    </row>
    <row r="30" customFormat="false" ht="42" hidden="false" customHeight="true" outlineLevel="0" collapsed="false">
      <c r="A30" s="23" t="s">
        <v>263</v>
      </c>
      <c r="B30" s="24" t="s">
        <v>264</v>
      </c>
      <c r="C30" s="24" t="s">
        <v>265</v>
      </c>
      <c r="D30" s="16"/>
      <c r="E30" s="17" t="s">
        <v>20</v>
      </c>
      <c r="F30" s="25" t="s">
        <v>266</v>
      </c>
      <c r="G30" s="26" t="s">
        <v>23</v>
      </c>
    </row>
    <row r="31" customFormat="false" ht="42" hidden="false" customHeight="true" outlineLevel="0" collapsed="false">
      <c r="A31" s="23"/>
      <c r="B31" s="23"/>
      <c r="C31" s="23"/>
      <c r="D31" s="16"/>
      <c r="E31" s="17" t="s">
        <v>25</v>
      </c>
      <c r="F31" s="25" t="s">
        <v>267</v>
      </c>
      <c r="G31" s="26" t="s">
        <v>23</v>
      </c>
    </row>
    <row r="32" customFormat="false" ht="42" hidden="false" customHeight="true" outlineLevel="0" collapsed="false">
      <c r="A32" s="23"/>
      <c r="B32" s="23"/>
      <c r="C32" s="23"/>
      <c r="D32" s="16"/>
      <c r="E32" s="17" t="s">
        <v>43</v>
      </c>
      <c r="F32" s="25" t="s">
        <v>268</v>
      </c>
      <c r="G32" s="26" t="s">
        <v>23</v>
      </c>
    </row>
    <row r="33" customFormat="false" ht="42" hidden="false" customHeight="true" outlineLevel="0" collapsed="false">
      <c r="A33" s="23"/>
      <c r="B33" s="23"/>
      <c r="C33" s="23"/>
      <c r="D33" s="16"/>
      <c r="E33" s="17" t="s">
        <v>32</v>
      </c>
      <c r="F33" s="25" t="s">
        <v>269</v>
      </c>
      <c r="G33" s="26" t="s">
        <v>23</v>
      </c>
    </row>
    <row r="34" customFormat="false" ht="42" hidden="false" customHeight="true" outlineLevel="0" collapsed="false">
      <c r="A34" s="23" t="s">
        <v>270</v>
      </c>
      <c r="B34" s="24" t="s">
        <v>271</v>
      </c>
      <c r="C34" s="24" t="s">
        <v>272</v>
      </c>
      <c r="D34" s="16"/>
      <c r="E34" s="17" t="s">
        <v>20</v>
      </c>
      <c r="F34" s="25" t="s">
        <v>273</v>
      </c>
      <c r="G34" s="26" t="s">
        <v>23</v>
      </c>
    </row>
    <row r="35" customFormat="false" ht="42" hidden="false" customHeight="true" outlineLevel="0" collapsed="false">
      <c r="A35" s="23"/>
      <c r="B35" s="23"/>
      <c r="C35" s="23"/>
      <c r="D35" s="16"/>
      <c r="E35" s="17" t="s">
        <v>25</v>
      </c>
      <c r="F35" s="25" t="s">
        <v>274</v>
      </c>
      <c r="G35" s="26" t="s">
        <v>23</v>
      </c>
    </row>
    <row r="36" customFormat="false" ht="42" hidden="false" customHeight="true" outlineLevel="0" collapsed="false">
      <c r="A36" s="23"/>
      <c r="B36" s="23"/>
      <c r="C36" s="23"/>
      <c r="D36" s="16"/>
      <c r="E36" s="17" t="s">
        <v>43</v>
      </c>
      <c r="F36" s="25" t="s">
        <v>275</v>
      </c>
      <c r="G36" s="26" t="s">
        <v>23</v>
      </c>
    </row>
    <row r="37" customFormat="false" ht="42" hidden="false" customHeight="true" outlineLevel="0" collapsed="false">
      <c r="A37" s="23"/>
      <c r="B37" s="23"/>
      <c r="C37" s="23"/>
      <c r="D37" s="16"/>
      <c r="E37" s="17" t="s">
        <v>32</v>
      </c>
      <c r="F37" s="25" t="s">
        <v>276</v>
      </c>
      <c r="G37" s="26" t="s">
        <v>23</v>
      </c>
    </row>
    <row r="38" customFormat="false" ht="42" hidden="false" customHeight="true" outlineLevel="0" collapsed="false">
      <c r="A38" s="27" t="s">
        <v>277</v>
      </c>
      <c r="B38" s="28" t="s">
        <v>278</v>
      </c>
      <c r="C38" s="28" t="s">
        <v>279</v>
      </c>
      <c r="D38" s="29" t="s">
        <v>280</v>
      </c>
      <c r="E38" s="29" t="s">
        <v>20</v>
      </c>
      <c r="F38" s="30" t="s">
        <v>281</v>
      </c>
      <c r="G38" s="31" t="s">
        <v>282</v>
      </c>
    </row>
    <row r="39" customFormat="false" ht="42" hidden="false" customHeight="true" outlineLevel="0" collapsed="false">
      <c r="A39" s="27"/>
      <c r="B39" s="27"/>
      <c r="C39" s="27"/>
      <c r="D39" s="29"/>
      <c r="E39" s="29" t="s">
        <v>25</v>
      </c>
      <c r="F39" s="30" t="s">
        <v>283</v>
      </c>
      <c r="G39" s="31" t="s">
        <v>282</v>
      </c>
    </row>
    <row r="40" customFormat="false" ht="42" hidden="false" customHeight="true" outlineLevel="0" collapsed="false">
      <c r="A40" s="27"/>
      <c r="B40" s="27"/>
      <c r="C40" s="27"/>
      <c r="D40" s="29"/>
      <c r="E40" s="29" t="s">
        <v>43</v>
      </c>
      <c r="F40" s="30" t="s">
        <v>284</v>
      </c>
      <c r="G40" s="31" t="s">
        <v>282</v>
      </c>
    </row>
    <row r="41" customFormat="false" ht="42" hidden="false" customHeight="true" outlineLevel="0" collapsed="false">
      <c r="A41" s="27"/>
      <c r="B41" s="27"/>
      <c r="C41" s="27"/>
      <c r="D41" s="29"/>
      <c r="E41" s="29" t="s">
        <v>32</v>
      </c>
      <c r="F41" s="30" t="s">
        <v>285</v>
      </c>
      <c r="G41" s="31" t="s">
        <v>282</v>
      </c>
    </row>
    <row r="42" customFormat="false" ht="42" hidden="false" customHeight="true" outlineLevel="0" collapsed="false">
      <c r="A42" s="23" t="s">
        <v>286</v>
      </c>
      <c r="B42" s="24" t="s">
        <v>287</v>
      </c>
      <c r="C42" s="24" t="s">
        <v>288</v>
      </c>
      <c r="D42" s="32"/>
      <c r="E42" s="17" t="s">
        <v>20</v>
      </c>
      <c r="F42" s="25" t="s">
        <v>289</v>
      </c>
      <c r="G42" s="26" t="s">
        <v>23</v>
      </c>
    </row>
    <row r="43" customFormat="false" ht="42" hidden="false" customHeight="true" outlineLevel="0" collapsed="false">
      <c r="A43" s="23"/>
      <c r="B43" s="23"/>
      <c r="C43" s="23"/>
      <c r="D43" s="16"/>
      <c r="E43" s="17" t="s">
        <v>25</v>
      </c>
      <c r="F43" s="25" t="s">
        <v>290</v>
      </c>
      <c r="G43" s="26" t="s">
        <v>23</v>
      </c>
    </row>
    <row r="44" customFormat="false" ht="42" hidden="false" customHeight="true" outlineLevel="0" collapsed="false">
      <c r="A44" s="23"/>
      <c r="B44" s="23"/>
      <c r="C44" s="23"/>
      <c r="D44" s="16"/>
      <c r="E44" s="17" t="s">
        <v>43</v>
      </c>
      <c r="F44" s="25" t="s">
        <v>291</v>
      </c>
      <c r="G44" s="26" t="s">
        <v>23</v>
      </c>
    </row>
    <row r="45" customFormat="false" ht="42" hidden="false" customHeight="true" outlineLevel="0" collapsed="false">
      <c r="A45" s="23"/>
      <c r="B45" s="23"/>
      <c r="C45" s="23"/>
      <c r="D45" s="16"/>
      <c r="E45" s="17" t="s">
        <v>32</v>
      </c>
      <c r="F45" s="25" t="s">
        <v>292</v>
      </c>
      <c r="G45" s="26" t="s">
        <v>23</v>
      </c>
    </row>
    <row r="46" customFormat="false" ht="42" hidden="false" customHeight="true" outlineLevel="0" collapsed="false">
      <c r="A46" s="23" t="s">
        <v>293</v>
      </c>
      <c r="B46" s="24" t="s">
        <v>294</v>
      </c>
      <c r="C46" s="24" t="s">
        <v>295</v>
      </c>
      <c r="D46" s="16"/>
      <c r="E46" s="17" t="s">
        <v>20</v>
      </c>
      <c r="F46" s="25" t="s">
        <v>296</v>
      </c>
      <c r="G46" s="26" t="s">
        <v>23</v>
      </c>
    </row>
    <row r="47" customFormat="false" ht="42" hidden="false" customHeight="true" outlineLevel="0" collapsed="false">
      <c r="A47" s="23"/>
      <c r="B47" s="23"/>
      <c r="C47" s="23"/>
      <c r="D47" s="16"/>
      <c r="E47" s="17" t="s">
        <v>25</v>
      </c>
      <c r="F47" s="25" t="s">
        <v>297</v>
      </c>
      <c r="G47" s="26" t="s">
        <v>23</v>
      </c>
    </row>
    <row r="48" customFormat="false" ht="42" hidden="false" customHeight="true" outlineLevel="0" collapsed="false">
      <c r="A48" s="23"/>
      <c r="B48" s="23"/>
      <c r="C48" s="23"/>
      <c r="D48" s="16"/>
      <c r="E48" s="17" t="s">
        <v>43</v>
      </c>
      <c r="F48" s="25" t="s">
        <v>298</v>
      </c>
      <c r="G48" s="26" t="s">
        <v>23</v>
      </c>
    </row>
    <row r="49" customFormat="false" ht="42" hidden="false" customHeight="true" outlineLevel="0" collapsed="false">
      <c r="A49" s="23"/>
      <c r="B49" s="23"/>
      <c r="C49" s="23"/>
      <c r="D49" s="16"/>
      <c r="E49" s="17" t="s">
        <v>32</v>
      </c>
      <c r="F49" s="25" t="s">
        <v>299</v>
      </c>
      <c r="G49" s="26" t="s">
        <v>23</v>
      </c>
    </row>
    <row r="50" customFormat="false" ht="42" hidden="false" customHeight="true" outlineLevel="0" collapsed="false">
      <c r="A50" s="23" t="s">
        <v>300</v>
      </c>
      <c r="B50" s="24" t="s">
        <v>301</v>
      </c>
      <c r="C50" s="24" t="s">
        <v>302</v>
      </c>
      <c r="D50" s="16"/>
      <c r="E50" s="17" t="s">
        <v>20</v>
      </c>
      <c r="F50" s="25" t="s">
        <v>303</v>
      </c>
      <c r="G50" s="26" t="s">
        <v>23</v>
      </c>
    </row>
    <row r="51" customFormat="false" ht="42" hidden="false" customHeight="true" outlineLevel="0" collapsed="false">
      <c r="A51" s="23"/>
      <c r="B51" s="23"/>
      <c r="C51" s="23"/>
      <c r="D51" s="16"/>
      <c r="E51" s="17" t="s">
        <v>25</v>
      </c>
      <c r="F51" s="25" t="s">
        <v>304</v>
      </c>
      <c r="G51" s="26" t="s">
        <v>23</v>
      </c>
    </row>
    <row r="52" customFormat="false" ht="42" hidden="false" customHeight="true" outlineLevel="0" collapsed="false">
      <c r="A52" s="23"/>
      <c r="B52" s="23"/>
      <c r="C52" s="23"/>
      <c r="D52" s="16"/>
      <c r="E52" s="17" t="s">
        <v>43</v>
      </c>
      <c r="F52" s="25" t="s">
        <v>305</v>
      </c>
      <c r="G52" s="26" t="s">
        <v>23</v>
      </c>
    </row>
    <row r="53" customFormat="false" ht="42" hidden="false" customHeight="true" outlineLevel="0" collapsed="false">
      <c r="A53" s="23"/>
      <c r="B53" s="23"/>
      <c r="C53" s="23"/>
      <c r="D53" s="16"/>
      <c r="E53" s="17" t="s">
        <v>32</v>
      </c>
      <c r="F53" s="25" t="s">
        <v>306</v>
      </c>
      <c r="G53" s="26" t="s">
        <v>23</v>
      </c>
    </row>
    <row r="54" customFormat="false" ht="42" hidden="false" customHeight="true" outlineLevel="0" collapsed="false">
      <c r="A54" s="23" t="s">
        <v>307</v>
      </c>
      <c r="B54" s="24" t="s">
        <v>308</v>
      </c>
      <c r="C54" s="24" t="s">
        <v>309</v>
      </c>
      <c r="D54" s="16"/>
      <c r="E54" s="17" t="s">
        <v>20</v>
      </c>
      <c r="F54" s="25" t="s">
        <v>310</v>
      </c>
      <c r="G54" s="26" t="s">
        <v>23</v>
      </c>
    </row>
    <row r="55" customFormat="false" ht="42" hidden="false" customHeight="true" outlineLevel="0" collapsed="false">
      <c r="A55" s="23"/>
      <c r="B55" s="23"/>
      <c r="C55" s="23"/>
      <c r="D55" s="16"/>
      <c r="E55" s="17" t="s">
        <v>25</v>
      </c>
      <c r="F55" s="25" t="s">
        <v>311</v>
      </c>
      <c r="G55" s="26" t="s">
        <v>23</v>
      </c>
    </row>
    <row r="56" customFormat="false" ht="42" hidden="false" customHeight="true" outlineLevel="0" collapsed="false">
      <c r="A56" s="23"/>
      <c r="B56" s="23"/>
      <c r="C56" s="23"/>
      <c r="D56" s="16"/>
      <c r="E56" s="17" t="s">
        <v>43</v>
      </c>
      <c r="F56" s="25" t="s">
        <v>312</v>
      </c>
      <c r="G56" s="26" t="s">
        <v>23</v>
      </c>
    </row>
    <row r="57" customFormat="false" ht="42" hidden="false" customHeight="true" outlineLevel="0" collapsed="false">
      <c r="A57" s="23"/>
      <c r="B57" s="23"/>
      <c r="C57" s="23"/>
      <c r="D57" s="16"/>
      <c r="E57" s="17" t="s">
        <v>32</v>
      </c>
      <c r="F57" s="25" t="s">
        <v>313</v>
      </c>
      <c r="G57" s="26" t="s">
        <v>23</v>
      </c>
    </row>
    <row r="58" customFormat="false" ht="42" hidden="false" customHeight="true" outlineLevel="0" collapsed="false">
      <c r="A58" s="23" t="s">
        <v>314</v>
      </c>
      <c r="B58" s="24" t="s">
        <v>315</v>
      </c>
      <c r="C58" s="24" t="s">
        <v>316</v>
      </c>
      <c r="D58" s="16"/>
      <c r="E58" s="17" t="s">
        <v>20</v>
      </c>
      <c r="F58" s="25" t="s">
        <v>317</v>
      </c>
      <c r="G58" s="26" t="s">
        <v>23</v>
      </c>
    </row>
    <row r="59" customFormat="false" ht="42" hidden="false" customHeight="true" outlineLevel="0" collapsed="false">
      <c r="A59" s="23"/>
      <c r="B59" s="23"/>
      <c r="C59" s="23"/>
      <c r="D59" s="16"/>
      <c r="E59" s="17" t="s">
        <v>25</v>
      </c>
      <c r="F59" s="25" t="s">
        <v>318</v>
      </c>
      <c r="G59" s="26" t="s">
        <v>23</v>
      </c>
    </row>
    <row r="60" customFormat="false" ht="42" hidden="false" customHeight="true" outlineLevel="0" collapsed="false">
      <c r="A60" s="23"/>
      <c r="B60" s="23"/>
      <c r="C60" s="23"/>
      <c r="D60" s="16"/>
      <c r="E60" s="17" t="s">
        <v>43</v>
      </c>
      <c r="F60" s="25" t="s">
        <v>319</v>
      </c>
      <c r="G60" s="26" t="s">
        <v>23</v>
      </c>
    </row>
    <row r="61" customFormat="false" ht="42" hidden="false" customHeight="true" outlineLevel="0" collapsed="false">
      <c r="A61" s="23"/>
      <c r="B61" s="23"/>
      <c r="C61" s="23"/>
      <c r="D61" s="16"/>
      <c r="E61" s="17" t="s">
        <v>32</v>
      </c>
      <c r="F61" s="25" t="s">
        <v>320</v>
      </c>
      <c r="G61" s="26" t="s">
        <v>23</v>
      </c>
    </row>
    <row r="62" customFormat="false" ht="42" hidden="false" customHeight="true" outlineLevel="0" collapsed="false">
      <c r="A62" s="27" t="s">
        <v>321</v>
      </c>
      <c r="B62" s="28" t="s">
        <v>322</v>
      </c>
      <c r="C62" s="28" t="s">
        <v>323</v>
      </c>
      <c r="D62" s="29"/>
      <c r="E62" s="29" t="s">
        <v>20</v>
      </c>
      <c r="F62" s="30" t="s">
        <v>324</v>
      </c>
      <c r="G62" s="31" t="s">
        <v>325</v>
      </c>
    </row>
    <row r="63" customFormat="false" ht="42" hidden="false" customHeight="true" outlineLevel="0" collapsed="false">
      <c r="A63" s="27"/>
      <c r="B63" s="27"/>
      <c r="C63" s="27"/>
      <c r="D63" s="29"/>
      <c r="E63" s="29" t="s">
        <v>25</v>
      </c>
      <c r="F63" s="30" t="s">
        <v>326</v>
      </c>
      <c r="G63" s="31" t="s">
        <v>325</v>
      </c>
    </row>
    <row r="64" customFormat="false" ht="42" hidden="false" customHeight="true" outlineLevel="0" collapsed="false">
      <c r="A64" s="27"/>
      <c r="B64" s="27"/>
      <c r="C64" s="27"/>
      <c r="D64" s="29"/>
      <c r="E64" s="29" t="s">
        <v>43</v>
      </c>
      <c r="F64" s="30" t="s">
        <v>327</v>
      </c>
      <c r="G64" s="31" t="s">
        <v>328</v>
      </c>
    </row>
    <row r="65" customFormat="false" ht="42" hidden="false" customHeight="true" outlineLevel="0" collapsed="false">
      <c r="A65" s="27"/>
      <c r="B65" s="27"/>
      <c r="C65" s="27"/>
      <c r="D65" s="29"/>
      <c r="E65" s="29" t="s">
        <v>32</v>
      </c>
      <c r="F65" s="30" t="s">
        <v>329</v>
      </c>
      <c r="G65" s="31" t="s">
        <v>325</v>
      </c>
    </row>
    <row r="66" customFormat="false" ht="42" hidden="false" customHeight="true" outlineLevel="0" collapsed="false">
      <c r="A66" s="23" t="s">
        <v>330</v>
      </c>
      <c r="B66" s="24" t="s">
        <v>331</v>
      </c>
      <c r="C66" s="24" t="s">
        <v>332</v>
      </c>
      <c r="D66" s="16"/>
      <c r="E66" s="17" t="s">
        <v>20</v>
      </c>
      <c r="F66" s="25" t="s">
        <v>333</v>
      </c>
      <c r="G66" s="26" t="s">
        <v>23</v>
      </c>
    </row>
    <row r="67" customFormat="false" ht="42" hidden="false" customHeight="true" outlineLevel="0" collapsed="false">
      <c r="A67" s="23"/>
      <c r="B67" s="23"/>
      <c r="C67" s="23"/>
      <c r="D67" s="16"/>
      <c r="E67" s="17" t="s">
        <v>25</v>
      </c>
      <c r="F67" s="25" t="s">
        <v>334</v>
      </c>
      <c r="G67" s="26" t="s">
        <v>23</v>
      </c>
    </row>
    <row r="68" customFormat="false" ht="42" hidden="false" customHeight="true" outlineLevel="0" collapsed="false">
      <c r="A68" s="23"/>
      <c r="B68" s="23"/>
      <c r="C68" s="23"/>
      <c r="D68" s="16"/>
      <c r="E68" s="17" t="s">
        <v>43</v>
      </c>
      <c r="F68" s="25" t="s">
        <v>335</v>
      </c>
      <c r="G68" s="26" t="s">
        <v>23</v>
      </c>
    </row>
    <row r="69" customFormat="false" ht="42" hidden="false" customHeight="true" outlineLevel="0" collapsed="false">
      <c r="A69" s="23"/>
      <c r="B69" s="23"/>
      <c r="C69" s="23"/>
      <c r="D69" s="16"/>
      <c r="E69" s="17" t="s">
        <v>32</v>
      </c>
      <c r="F69" s="25" t="s">
        <v>336</v>
      </c>
      <c r="G69" s="26" t="s">
        <v>23</v>
      </c>
    </row>
    <row r="70" customFormat="false" ht="42" hidden="false" customHeight="true" outlineLevel="0" collapsed="false">
      <c r="A70" s="23" t="s">
        <v>337</v>
      </c>
      <c r="B70" s="24" t="s">
        <v>338</v>
      </c>
      <c r="C70" s="24" t="s">
        <v>339</v>
      </c>
      <c r="D70" s="16"/>
      <c r="E70" s="17" t="s">
        <v>20</v>
      </c>
      <c r="F70" s="25" t="s">
        <v>340</v>
      </c>
      <c r="G70" s="26" t="s">
        <v>23</v>
      </c>
    </row>
    <row r="71" customFormat="false" ht="42" hidden="false" customHeight="true" outlineLevel="0" collapsed="false">
      <c r="A71" s="23"/>
      <c r="B71" s="23"/>
      <c r="C71" s="23"/>
      <c r="D71" s="16"/>
      <c r="E71" s="17" t="s">
        <v>25</v>
      </c>
      <c r="F71" s="25" t="s">
        <v>341</v>
      </c>
      <c r="G71" s="26" t="s">
        <v>23</v>
      </c>
    </row>
    <row r="72" customFormat="false" ht="42" hidden="false" customHeight="true" outlineLevel="0" collapsed="false">
      <c r="A72" s="23"/>
      <c r="B72" s="23"/>
      <c r="C72" s="23"/>
      <c r="D72" s="16"/>
      <c r="E72" s="17" t="s">
        <v>43</v>
      </c>
      <c r="F72" s="25" t="s">
        <v>342</v>
      </c>
      <c r="G72" s="26" t="s">
        <v>23</v>
      </c>
    </row>
    <row r="73" customFormat="false" ht="42" hidden="false" customHeight="true" outlineLevel="0" collapsed="false">
      <c r="A73" s="23"/>
      <c r="B73" s="23"/>
      <c r="C73" s="23"/>
      <c r="D73" s="16"/>
      <c r="E73" s="17" t="s">
        <v>32</v>
      </c>
      <c r="F73" s="25" t="s">
        <v>343</v>
      </c>
      <c r="G73" s="26" t="s">
        <v>23</v>
      </c>
    </row>
    <row r="74" customFormat="false" ht="42" hidden="false" customHeight="true" outlineLevel="0" collapsed="false">
      <c r="A74" s="23" t="s">
        <v>344</v>
      </c>
      <c r="B74" s="24" t="s">
        <v>345</v>
      </c>
      <c r="C74" s="24" t="s">
        <v>346</v>
      </c>
      <c r="D74" s="16"/>
      <c r="E74" s="17" t="s">
        <v>20</v>
      </c>
      <c r="F74" s="25" t="s">
        <v>347</v>
      </c>
      <c r="G74" s="26" t="s">
        <v>23</v>
      </c>
    </row>
    <row r="75" customFormat="false" ht="42" hidden="false" customHeight="true" outlineLevel="0" collapsed="false">
      <c r="A75" s="23"/>
      <c r="B75" s="23"/>
      <c r="C75" s="23"/>
      <c r="D75" s="16"/>
      <c r="E75" s="17" t="s">
        <v>25</v>
      </c>
      <c r="F75" s="25" t="s">
        <v>348</v>
      </c>
      <c r="G75" s="26" t="s">
        <v>23</v>
      </c>
    </row>
    <row r="76" customFormat="false" ht="42" hidden="false" customHeight="true" outlineLevel="0" collapsed="false">
      <c r="A76" s="23"/>
      <c r="B76" s="23"/>
      <c r="C76" s="23"/>
      <c r="D76" s="16"/>
      <c r="E76" s="17" t="s">
        <v>43</v>
      </c>
      <c r="F76" s="25" t="s">
        <v>349</v>
      </c>
      <c r="G76" s="26" t="s">
        <v>23</v>
      </c>
    </row>
    <row r="77" customFormat="false" ht="42" hidden="false" customHeight="true" outlineLevel="0" collapsed="false">
      <c r="A77" s="23"/>
      <c r="B77" s="23"/>
      <c r="C77" s="23"/>
      <c r="D77" s="16"/>
      <c r="E77" s="17" t="s">
        <v>32</v>
      </c>
      <c r="F77" s="25" t="s">
        <v>350</v>
      </c>
      <c r="G77" s="26" t="s">
        <v>23</v>
      </c>
    </row>
    <row r="78" customFormat="false" ht="42" hidden="false" customHeight="true" outlineLevel="0" collapsed="false">
      <c r="A78" s="23" t="s">
        <v>351</v>
      </c>
      <c r="B78" s="24" t="s">
        <v>352</v>
      </c>
      <c r="C78" s="24" t="s">
        <v>353</v>
      </c>
      <c r="D78" s="16"/>
      <c r="E78" s="17" t="s">
        <v>20</v>
      </c>
      <c r="F78" s="25" t="s">
        <v>354</v>
      </c>
      <c r="G78" s="26" t="s">
        <v>23</v>
      </c>
    </row>
    <row r="79" customFormat="false" ht="42" hidden="false" customHeight="true" outlineLevel="0" collapsed="false">
      <c r="A79" s="23"/>
      <c r="B79" s="23"/>
      <c r="C79" s="23"/>
      <c r="D79" s="16"/>
      <c r="E79" s="17" t="s">
        <v>25</v>
      </c>
      <c r="F79" s="25" t="s">
        <v>355</v>
      </c>
      <c r="G79" s="26" t="s">
        <v>23</v>
      </c>
    </row>
    <row r="80" customFormat="false" ht="42" hidden="false" customHeight="true" outlineLevel="0" collapsed="false">
      <c r="A80" s="23"/>
      <c r="B80" s="23"/>
      <c r="C80" s="23"/>
      <c r="D80" s="16"/>
      <c r="E80" s="17" t="s">
        <v>43</v>
      </c>
      <c r="F80" s="25" t="s">
        <v>356</v>
      </c>
      <c r="G80" s="26" t="s">
        <v>23</v>
      </c>
    </row>
    <row r="81" customFormat="false" ht="42" hidden="false" customHeight="true" outlineLevel="0" collapsed="false">
      <c r="A81" s="23"/>
      <c r="B81" s="23"/>
      <c r="C81" s="23"/>
      <c r="D81" s="16"/>
      <c r="E81" s="17" t="s">
        <v>32</v>
      </c>
      <c r="F81" s="25" t="s">
        <v>357</v>
      </c>
      <c r="G81" s="26" t="s">
        <v>23</v>
      </c>
    </row>
    <row r="82" customFormat="false" ht="42" hidden="false" customHeight="true" outlineLevel="0" collapsed="false">
      <c r="A82" s="23" t="s">
        <v>358</v>
      </c>
      <c r="B82" s="24" t="s">
        <v>359</v>
      </c>
      <c r="C82" s="24" t="s">
        <v>360</v>
      </c>
      <c r="D82" s="16"/>
      <c r="E82" s="17" t="s">
        <v>20</v>
      </c>
      <c r="F82" s="25" t="s">
        <v>361</v>
      </c>
      <c r="G82" s="26" t="s">
        <v>23</v>
      </c>
    </row>
    <row r="83" customFormat="false" ht="42" hidden="false" customHeight="true" outlineLevel="0" collapsed="false">
      <c r="A83" s="23"/>
      <c r="B83" s="23"/>
      <c r="C83" s="23"/>
      <c r="D83" s="16"/>
      <c r="E83" s="17" t="s">
        <v>25</v>
      </c>
      <c r="F83" s="25" t="s">
        <v>362</v>
      </c>
      <c r="G83" s="26" t="s">
        <v>23</v>
      </c>
    </row>
    <row r="84" customFormat="false" ht="42" hidden="false" customHeight="true" outlineLevel="0" collapsed="false">
      <c r="A84" s="23"/>
      <c r="B84" s="23"/>
      <c r="C84" s="23"/>
      <c r="D84" s="16"/>
      <c r="E84" s="17" t="s">
        <v>43</v>
      </c>
      <c r="F84" s="25" t="s">
        <v>363</v>
      </c>
      <c r="G84" s="26" t="s">
        <v>23</v>
      </c>
    </row>
    <row r="85" customFormat="false" ht="42" hidden="false" customHeight="true" outlineLevel="0" collapsed="false">
      <c r="A85" s="23"/>
      <c r="B85" s="23"/>
      <c r="C85" s="23"/>
      <c r="D85" s="16"/>
      <c r="E85" s="17" t="s">
        <v>32</v>
      </c>
      <c r="F85" s="25" t="s">
        <v>364</v>
      </c>
      <c r="G85" s="26" t="s">
        <v>23</v>
      </c>
    </row>
  </sheetData>
  <autoFilter ref="A1:G85"/>
  <mergeCells count="63">
    <mergeCell ref="A2:A5"/>
    <mergeCell ref="B2:B5"/>
    <mergeCell ref="C2:C5"/>
    <mergeCell ref="A6:A9"/>
    <mergeCell ref="B6:B9"/>
    <mergeCell ref="C6:C9"/>
    <mergeCell ref="A10:A13"/>
    <mergeCell ref="B10:B13"/>
    <mergeCell ref="C10:C13"/>
    <mergeCell ref="A14:A17"/>
    <mergeCell ref="B14:B17"/>
    <mergeCell ref="C14:C17"/>
    <mergeCell ref="A18:A21"/>
    <mergeCell ref="B18:B21"/>
    <mergeCell ref="C18:C21"/>
    <mergeCell ref="A22:A25"/>
    <mergeCell ref="B22:B25"/>
    <mergeCell ref="C22:C25"/>
    <mergeCell ref="A26:A29"/>
    <mergeCell ref="B26:B29"/>
    <mergeCell ref="C26:C29"/>
    <mergeCell ref="A30:A33"/>
    <mergeCell ref="B30:B33"/>
    <mergeCell ref="C30:C33"/>
    <mergeCell ref="A34:A37"/>
    <mergeCell ref="B34:B37"/>
    <mergeCell ref="C34:C37"/>
    <mergeCell ref="A38:A41"/>
    <mergeCell ref="B38:B41"/>
    <mergeCell ref="C38:C41"/>
    <mergeCell ref="A42:A45"/>
    <mergeCell ref="B42:B45"/>
    <mergeCell ref="C42:C45"/>
    <mergeCell ref="A46:A49"/>
    <mergeCell ref="B46:B49"/>
    <mergeCell ref="C46:C49"/>
    <mergeCell ref="A50:A53"/>
    <mergeCell ref="B50:B53"/>
    <mergeCell ref="C50:C53"/>
    <mergeCell ref="A54:A57"/>
    <mergeCell ref="B54:B57"/>
    <mergeCell ref="C54:C57"/>
    <mergeCell ref="A58:A61"/>
    <mergeCell ref="B58:B61"/>
    <mergeCell ref="C58:C61"/>
    <mergeCell ref="A62:A65"/>
    <mergeCell ref="B62:B65"/>
    <mergeCell ref="C62:C65"/>
    <mergeCell ref="A66:A69"/>
    <mergeCell ref="B66:B69"/>
    <mergeCell ref="C66:C69"/>
    <mergeCell ref="A70:A73"/>
    <mergeCell ref="B70:B73"/>
    <mergeCell ref="C70:C73"/>
    <mergeCell ref="A74:A77"/>
    <mergeCell ref="B74:B77"/>
    <mergeCell ref="C74:C77"/>
    <mergeCell ref="A78:A81"/>
    <mergeCell ref="B78:B81"/>
    <mergeCell ref="C78:C81"/>
    <mergeCell ref="A82:A85"/>
    <mergeCell ref="B82:B85"/>
    <mergeCell ref="C82:C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12890625" defaultRowHeight="10.5" customHeight="false" zeroHeight="false" outlineLevelRow="0" outlineLevelCol="0"/>
  <cols>
    <col collapsed="false" customWidth="false" hidden="false" outlineLevel="0" max="1" min="1" style="1" width="8.13"/>
    <col collapsed="false" customWidth="true" hidden="false" outlineLevel="0" max="2" min="2" style="1" width="20"/>
    <col collapsed="false" customWidth="true" hidden="false" outlineLevel="0" max="3" min="3" style="1" width="18"/>
    <col collapsed="false" customWidth="false" hidden="false" outlineLevel="0" max="16384" min="4" style="1" width="8.13"/>
  </cols>
  <sheetData>
    <row r="1" customFormat="false" ht="15" hidden="false" customHeight="true" outlineLevel="0" collapsed="false">
      <c r="A1" s="33" t="s">
        <v>365</v>
      </c>
      <c r="B1" s="33" t="s">
        <v>366</v>
      </c>
      <c r="C1" s="33" t="s">
        <v>367</v>
      </c>
    </row>
    <row r="2" customFormat="false" ht="15" hidden="false" customHeight="true" outlineLevel="0" collapsed="false">
      <c r="A2" s="5" t="s">
        <v>368</v>
      </c>
      <c r="B2" s="4" t="s">
        <v>369</v>
      </c>
      <c r="C2" s="4" t="s">
        <v>370</v>
      </c>
    </row>
    <row r="3" customFormat="false" ht="15" hidden="false" customHeight="true" outlineLevel="0" collapsed="false">
      <c r="A3" s="5" t="s">
        <v>368</v>
      </c>
      <c r="B3" s="4" t="s">
        <v>371</v>
      </c>
      <c r="C3" s="4" t="s">
        <v>370</v>
      </c>
    </row>
    <row r="4" customFormat="false" ht="15" hidden="false" customHeight="true" outlineLevel="0" collapsed="false">
      <c r="A4" s="5" t="s">
        <v>368</v>
      </c>
      <c r="B4" s="4" t="s">
        <v>372</v>
      </c>
      <c r="C4" s="4" t="s">
        <v>370</v>
      </c>
    </row>
    <row r="5" customFormat="false" ht="15" hidden="false" customHeight="true" outlineLevel="0" collapsed="false">
      <c r="A5" s="5" t="s">
        <v>368</v>
      </c>
      <c r="B5" s="4" t="s">
        <v>373</v>
      </c>
      <c r="C5" s="4" t="s">
        <v>374</v>
      </c>
    </row>
    <row r="6" customFormat="false" ht="15" hidden="false" customHeight="true" outlineLevel="0" collapsed="false">
      <c r="A6" s="4" t="s">
        <v>375</v>
      </c>
      <c r="B6" s="4" t="s">
        <v>376</v>
      </c>
      <c r="C6" s="4" t="s">
        <v>370</v>
      </c>
    </row>
    <row r="7" customFormat="false" ht="15" hidden="false" customHeight="true" outlineLevel="0" collapsed="false">
      <c r="A7" s="4" t="s">
        <v>375</v>
      </c>
      <c r="B7" s="4" t="s">
        <v>377</v>
      </c>
      <c r="C7" s="4" t="s">
        <v>378</v>
      </c>
    </row>
    <row r="8" customFormat="false" ht="15" hidden="false" customHeight="true" outlineLevel="0" collapsed="false">
      <c r="A8" s="4" t="s">
        <v>375</v>
      </c>
      <c r="B8" s="4" t="s">
        <v>379</v>
      </c>
      <c r="C8" s="4" t="s">
        <v>374</v>
      </c>
    </row>
    <row r="9" customFormat="false" ht="15" hidden="false" customHeight="true" outlineLevel="0" collapsed="false">
      <c r="A9" s="4" t="s">
        <v>375</v>
      </c>
      <c r="B9" s="4" t="s">
        <v>380</v>
      </c>
      <c r="C9" s="4" t="s">
        <v>381</v>
      </c>
    </row>
    <row r="10" customFormat="false" ht="15" hidden="false" customHeight="true" outlineLevel="0" collapsed="false">
      <c r="A10" s="5" t="s">
        <v>382</v>
      </c>
      <c r="B10" s="4" t="s">
        <v>383</v>
      </c>
      <c r="C10" s="5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B18" activeCellId="0" sqref="B18"/>
    </sheetView>
  </sheetViews>
  <sheetFormatPr defaultColWidth="8.46875" defaultRowHeight="11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8"/>
    <col collapsed="false" customWidth="true" hidden="false" outlineLevel="0" max="4" min="4" style="7" width="18"/>
    <col collapsed="false" customWidth="true" hidden="false" outlineLevel="0" max="8" min="5" style="1" width="18"/>
    <col collapsed="false" customWidth="true" hidden="false" outlineLevel="0" max="10" min="9" style="1" width="24"/>
    <col collapsed="false" customWidth="false" hidden="false" outlineLevel="0" max="16384" min="11" style="1" width="8.47"/>
  </cols>
  <sheetData>
    <row r="1" customFormat="false" ht="15" hidden="false" customHeight="true" outlineLevel="0" collapsed="false">
      <c r="A1" s="34" t="s">
        <v>385</v>
      </c>
      <c r="B1" s="34"/>
      <c r="C1" s="34"/>
      <c r="D1" s="34"/>
      <c r="E1" s="34"/>
      <c r="F1" s="34"/>
      <c r="G1" s="34"/>
      <c r="H1" s="34"/>
      <c r="I1" s="34"/>
      <c r="J1" s="34"/>
    </row>
    <row r="2" customFormat="false" ht="15" hidden="false" customHeight="true" outlineLevel="0" collapsed="false">
      <c r="A2" s="35" t="s">
        <v>386</v>
      </c>
      <c r="B2" s="35"/>
      <c r="C2" s="35"/>
      <c r="D2" s="35"/>
      <c r="E2" s="35"/>
      <c r="F2" s="35"/>
      <c r="G2" s="35"/>
      <c r="H2" s="35"/>
      <c r="I2" s="35"/>
      <c r="J2" s="35"/>
    </row>
    <row r="3" customFormat="false" ht="15" hidden="false" customHeight="true" outlineLevel="0" collapsed="false">
      <c r="A3" s="35" t="s">
        <v>387</v>
      </c>
      <c r="B3" s="35"/>
      <c r="C3" s="35"/>
      <c r="D3" s="35"/>
      <c r="E3" s="35"/>
      <c r="F3" s="35"/>
      <c r="G3" s="35"/>
      <c r="H3" s="35"/>
      <c r="I3" s="35"/>
      <c r="J3" s="35"/>
    </row>
    <row r="5" customFormat="false" ht="15" hidden="false" customHeight="true" outlineLevel="0" collapsed="false">
      <c r="A5" s="36" t="s">
        <v>388</v>
      </c>
      <c r="B5" s="36"/>
      <c r="C5" s="36"/>
    </row>
    <row r="6" customFormat="false" ht="11.25" hidden="false" customHeight="true" outlineLevel="0" collapsed="false">
      <c r="A6" s="37" t="s">
        <v>366</v>
      </c>
      <c r="B6" s="38" t="s">
        <v>389</v>
      </c>
      <c r="C6" s="38"/>
    </row>
    <row r="7" customFormat="false" ht="24.75" hidden="false" customHeight="true" outlineLevel="0" collapsed="false">
      <c r="A7" s="39" t="s">
        <v>390</v>
      </c>
      <c r="B7" s="40" t="s">
        <v>391</v>
      </c>
      <c r="C7" s="40"/>
    </row>
    <row r="8" customFormat="false" ht="24" hidden="false" customHeight="true" outlineLevel="0" collapsed="false">
      <c r="A8" s="39" t="s">
        <v>392</v>
      </c>
      <c r="B8" s="40" t="s">
        <v>393</v>
      </c>
      <c r="C8" s="40"/>
    </row>
    <row r="9" customFormat="false" ht="23.25" hidden="false" customHeight="true" outlineLevel="0" collapsed="false">
      <c r="A9" s="39" t="s">
        <v>394</v>
      </c>
      <c r="B9" s="40" t="s">
        <v>395</v>
      </c>
      <c r="C9" s="40"/>
    </row>
    <row r="11" customFormat="false" ht="15" hidden="false" customHeight="true" outlineLevel="0" collapsed="false">
      <c r="A11" s="36" t="s">
        <v>396</v>
      </c>
      <c r="B11" s="36"/>
      <c r="C11" s="36"/>
    </row>
    <row r="12" customFormat="false" ht="13.5" hidden="false" customHeight="true" outlineLevel="0" collapsed="false">
      <c r="A12" s="37" t="s">
        <v>397</v>
      </c>
      <c r="B12" s="37" t="s">
        <v>398</v>
      </c>
      <c r="C12" s="41"/>
    </row>
    <row r="13" customFormat="false" ht="13.5" hidden="false" customHeight="true" outlineLevel="0" collapsed="false">
      <c r="A13" s="39" t="s">
        <v>399</v>
      </c>
      <c r="B13" s="39" t="s">
        <v>400</v>
      </c>
      <c r="C13" s="41"/>
    </row>
    <row r="14" customFormat="false" ht="13.5" hidden="false" customHeight="true" outlineLevel="0" collapsed="false">
      <c r="A14" s="39" t="s">
        <v>401</v>
      </c>
      <c r="B14" s="39" t="s">
        <v>402</v>
      </c>
      <c r="C14" s="41"/>
    </row>
    <row r="15" customFormat="false" ht="13.5" hidden="false" customHeight="true" outlineLevel="0" collapsed="false">
      <c r="A15" s="42" t="s">
        <v>403</v>
      </c>
      <c r="B15" s="39" t="s">
        <v>404</v>
      </c>
      <c r="C15" s="41"/>
    </row>
    <row r="16" customFormat="false" ht="13.5" hidden="false" customHeight="true" outlineLevel="0" collapsed="false">
      <c r="A16" s="43" t="s">
        <v>23</v>
      </c>
      <c r="B16" s="44" t="s">
        <v>405</v>
      </c>
      <c r="C16" s="41"/>
    </row>
    <row r="17" customFormat="false" ht="13.5" hidden="false" customHeight="true" outlineLevel="0" collapsed="false">
      <c r="A17" s="43" t="s">
        <v>406</v>
      </c>
      <c r="B17" s="44" t="s">
        <v>407</v>
      </c>
      <c r="C17" s="41"/>
    </row>
    <row r="18" customFormat="false" ht="13.5" hidden="false" customHeight="true" outlineLevel="0" collapsed="false">
      <c r="A18" s="43" t="s">
        <v>136</v>
      </c>
      <c r="B18" s="44" t="s">
        <v>408</v>
      </c>
      <c r="C18" s="41"/>
    </row>
    <row r="20" customFormat="false" ht="15" hidden="false" customHeight="true" outlineLevel="0" collapsed="false">
      <c r="A20" s="36" t="s">
        <v>409</v>
      </c>
      <c r="B20" s="36"/>
      <c r="C20" s="36"/>
      <c r="D20" s="36"/>
      <c r="E20" s="36"/>
      <c r="F20" s="36"/>
      <c r="G20" s="36"/>
      <c r="H20" s="36"/>
      <c r="I20" s="36"/>
    </row>
    <row r="21" customFormat="false" ht="11.25" hidden="false" customHeight="true" outlineLevel="0" collapsed="false">
      <c r="A21" s="37" t="s">
        <v>410</v>
      </c>
      <c r="B21" s="45" t="s">
        <v>411</v>
      </c>
      <c r="C21" s="45" t="s">
        <v>412</v>
      </c>
      <c r="D21" s="45" t="s">
        <v>413</v>
      </c>
      <c r="E21" s="45" t="s">
        <v>414</v>
      </c>
      <c r="F21" s="45" t="s">
        <v>415</v>
      </c>
      <c r="G21" s="45" t="s">
        <v>416</v>
      </c>
      <c r="H21" s="45" t="s">
        <v>417</v>
      </c>
      <c r="I21" s="37" t="s">
        <v>418</v>
      </c>
    </row>
    <row r="22" customFormat="false" ht="12.75" hidden="false" customHeight="true" outlineLevel="0" collapsed="false">
      <c r="A22" s="39" t="s">
        <v>419</v>
      </c>
      <c r="B22" s="46" t="s">
        <v>420</v>
      </c>
      <c r="C22" s="47" t="s">
        <v>399</v>
      </c>
      <c r="D22" s="47" t="s">
        <v>399</v>
      </c>
      <c r="E22" s="47" t="s">
        <v>399</v>
      </c>
      <c r="F22" s="47" t="s">
        <v>399</v>
      </c>
      <c r="G22" s="47" t="s">
        <v>399</v>
      </c>
      <c r="H22" s="47" t="s">
        <v>399</v>
      </c>
      <c r="I22" s="42" t="s">
        <v>421</v>
      </c>
    </row>
    <row r="23" customFormat="false" ht="12.75" hidden="false" customHeight="true" outlineLevel="0" collapsed="false">
      <c r="A23" s="39" t="s">
        <v>422</v>
      </c>
      <c r="B23" s="46" t="s">
        <v>420</v>
      </c>
      <c r="C23" s="47" t="s">
        <v>399</v>
      </c>
      <c r="D23" s="47" t="s">
        <v>399</v>
      </c>
      <c r="E23" s="47" t="s">
        <v>399</v>
      </c>
      <c r="F23" s="47" t="s">
        <v>399</v>
      </c>
      <c r="G23" s="47" t="s">
        <v>399</v>
      </c>
      <c r="H23" s="47" t="s">
        <v>399</v>
      </c>
      <c r="I23" s="42" t="s">
        <v>423</v>
      </c>
    </row>
    <row r="24" customFormat="false" ht="12.75" hidden="false" customHeight="true" outlineLevel="0" collapsed="false">
      <c r="A24" s="39" t="s">
        <v>424</v>
      </c>
      <c r="B24" s="46" t="s">
        <v>420</v>
      </c>
      <c r="C24" s="47" t="s">
        <v>399</v>
      </c>
      <c r="D24" s="47" t="s">
        <v>401</v>
      </c>
      <c r="E24" s="47" t="s">
        <v>401</v>
      </c>
      <c r="F24" s="48" t="s">
        <v>403</v>
      </c>
      <c r="G24" s="48" t="s">
        <v>403</v>
      </c>
      <c r="H24" s="48" t="s">
        <v>403</v>
      </c>
      <c r="I24" s="42" t="s">
        <v>425</v>
      </c>
    </row>
    <row r="25" customFormat="false" ht="12.75" hidden="false" customHeight="true" outlineLevel="0" collapsed="false">
      <c r="A25" s="39" t="s">
        <v>426</v>
      </c>
      <c r="B25" s="46" t="s">
        <v>420</v>
      </c>
      <c r="C25" s="47" t="s">
        <v>399</v>
      </c>
      <c r="D25" s="47" t="s">
        <v>399</v>
      </c>
      <c r="E25" s="47" t="s">
        <v>399</v>
      </c>
      <c r="F25" s="47" t="s">
        <v>399</v>
      </c>
      <c r="G25" s="47" t="s">
        <v>399</v>
      </c>
      <c r="H25" s="47" t="s">
        <v>399</v>
      </c>
      <c r="I25" s="42" t="s">
        <v>427</v>
      </c>
    </row>
    <row r="26" customFormat="false" ht="12.75" hidden="false" customHeight="true" outlineLevel="0" collapsed="false">
      <c r="A26" s="39" t="s">
        <v>428</v>
      </c>
      <c r="B26" s="46" t="s">
        <v>420</v>
      </c>
      <c r="C26" s="47" t="s">
        <v>399</v>
      </c>
      <c r="D26" s="47" t="s">
        <v>399</v>
      </c>
      <c r="E26" s="47" t="s">
        <v>399</v>
      </c>
      <c r="F26" s="47" t="s">
        <v>399</v>
      </c>
      <c r="G26" s="47" t="s">
        <v>399</v>
      </c>
      <c r="H26" s="47" t="s">
        <v>399</v>
      </c>
      <c r="I26" s="42" t="s">
        <v>429</v>
      </c>
    </row>
    <row r="27" customFormat="false" ht="12.75" hidden="false" customHeight="true" outlineLevel="0" collapsed="false">
      <c r="A27" s="39" t="s">
        <v>430</v>
      </c>
      <c r="B27" s="46" t="s">
        <v>420</v>
      </c>
      <c r="C27" s="48" t="s">
        <v>403</v>
      </c>
      <c r="D27" s="48" t="s">
        <v>403</v>
      </c>
      <c r="E27" s="48" t="s">
        <v>403</v>
      </c>
      <c r="F27" s="48" t="s">
        <v>403</v>
      </c>
      <c r="G27" s="47" t="s">
        <v>399</v>
      </c>
      <c r="H27" s="47" t="s">
        <v>399</v>
      </c>
      <c r="I27" s="42" t="s">
        <v>431</v>
      </c>
    </row>
    <row r="28" customFormat="false" ht="12.75" hidden="false" customHeight="true" outlineLevel="0" collapsed="false">
      <c r="A28" s="39" t="s">
        <v>432</v>
      </c>
      <c r="B28" s="46" t="s">
        <v>420</v>
      </c>
      <c r="C28" s="48" t="s">
        <v>403</v>
      </c>
      <c r="D28" s="47" t="s">
        <v>399</v>
      </c>
      <c r="E28" s="47" t="s">
        <v>401</v>
      </c>
      <c r="F28" s="48" t="s">
        <v>403</v>
      </c>
      <c r="G28" s="48" t="s">
        <v>403</v>
      </c>
      <c r="H28" s="48" t="s">
        <v>403</v>
      </c>
      <c r="I28" s="42" t="s">
        <v>433</v>
      </c>
    </row>
    <row r="29" customFormat="false" ht="12.75" hidden="false" customHeight="true" outlineLevel="0" collapsed="false">
      <c r="A29" s="39" t="s">
        <v>434</v>
      </c>
      <c r="B29" s="46" t="s">
        <v>420</v>
      </c>
      <c r="C29" s="48" t="s">
        <v>403</v>
      </c>
      <c r="D29" s="48" t="s">
        <v>403</v>
      </c>
      <c r="E29" s="48" t="s">
        <v>403</v>
      </c>
      <c r="F29" s="47" t="s">
        <v>401</v>
      </c>
      <c r="G29" s="47" t="s">
        <v>399</v>
      </c>
      <c r="H29" s="47" t="s">
        <v>399</v>
      </c>
      <c r="I29" s="42" t="s">
        <v>435</v>
      </c>
    </row>
    <row r="30" customFormat="false" ht="12.75" hidden="false" customHeight="true" outlineLevel="0" collapsed="false">
      <c r="A30" s="39" t="s">
        <v>436</v>
      </c>
      <c r="B30" s="46" t="s">
        <v>420</v>
      </c>
      <c r="C30" s="48" t="s">
        <v>403</v>
      </c>
      <c r="D30" s="47" t="s">
        <v>399</v>
      </c>
      <c r="E30" s="47" t="s">
        <v>399</v>
      </c>
      <c r="F30" s="48" t="s">
        <v>403</v>
      </c>
      <c r="G30" s="48" t="s">
        <v>403</v>
      </c>
      <c r="H30" s="48" t="s">
        <v>403</v>
      </c>
      <c r="I30" s="42" t="s">
        <v>437</v>
      </c>
    </row>
    <row r="31" customFormat="false" ht="12.75" hidden="false" customHeight="true" outlineLevel="0" collapsed="false">
      <c r="A31" s="42" t="s">
        <v>438</v>
      </c>
      <c r="B31" s="46" t="s">
        <v>420</v>
      </c>
      <c r="C31" s="47" t="s">
        <v>399</v>
      </c>
      <c r="D31" s="47" t="s">
        <v>399</v>
      </c>
      <c r="E31" s="47" t="s">
        <v>399</v>
      </c>
      <c r="F31" s="47" t="s">
        <v>399</v>
      </c>
      <c r="G31" s="47" t="s">
        <v>399</v>
      </c>
      <c r="H31" s="47" t="s">
        <v>399</v>
      </c>
      <c r="I31" s="42" t="s">
        <v>439</v>
      </c>
    </row>
    <row r="32" customFormat="false" ht="12.75" hidden="false" customHeight="true" outlineLevel="0" collapsed="false">
      <c r="A32" s="39" t="s">
        <v>440</v>
      </c>
      <c r="B32" s="46" t="s">
        <v>420</v>
      </c>
      <c r="C32" s="47" t="s">
        <v>399</v>
      </c>
      <c r="D32" s="47" t="s">
        <v>399</v>
      </c>
      <c r="E32" s="47" t="s">
        <v>399</v>
      </c>
      <c r="F32" s="47" t="s">
        <v>399</v>
      </c>
      <c r="G32" s="47" t="s">
        <v>399</v>
      </c>
      <c r="H32" s="47" t="s">
        <v>399</v>
      </c>
      <c r="I32" s="42" t="s">
        <v>441</v>
      </c>
    </row>
    <row r="33" customFormat="false" ht="12.75" hidden="false" customHeight="true" outlineLevel="0" collapsed="false">
      <c r="A33" s="39" t="s">
        <v>442</v>
      </c>
      <c r="B33" s="46" t="s">
        <v>420</v>
      </c>
      <c r="C33" s="47" t="s">
        <v>399</v>
      </c>
      <c r="D33" s="47" t="s">
        <v>399</v>
      </c>
      <c r="E33" s="47" t="s">
        <v>399</v>
      </c>
      <c r="F33" s="47" t="s">
        <v>399</v>
      </c>
      <c r="G33" s="47" t="s">
        <v>399</v>
      </c>
      <c r="H33" s="47" t="s">
        <v>399</v>
      </c>
      <c r="I33" s="42" t="s">
        <v>443</v>
      </c>
    </row>
    <row r="34" customFormat="false" ht="12.75" hidden="false" customHeight="true" outlineLevel="0" collapsed="false">
      <c r="A34" s="39" t="s">
        <v>444</v>
      </c>
      <c r="B34" s="46" t="s">
        <v>420</v>
      </c>
      <c r="C34" s="47" t="s">
        <v>399</v>
      </c>
      <c r="D34" s="47" t="s">
        <v>399</v>
      </c>
      <c r="E34" s="47" t="s">
        <v>399</v>
      </c>
      <c r="F34" s="47" t="s">
        <v>399</v>
      </c>
      <c r="G34" s="47" t="s">
        <v>399</v>
      </c>
      <c r="H34" s="47" t="s">
        <v>399</v>
      </c>
      <c r="I34" s="42" t="s">
        <v>445</v>
      </c>
    </row>
    <row r="35" customFormat="false" ht="12.75" hidden="false" customHeight="true" outlineLevel="0" collapsed="false">
      <c r="A35" s="39" t="s">
        <v>446</v>
      </c>
      <c r="B35" s="46" t="s">
        <v>420</v>
      </c>
      <c r="C35" s="48" t="s">
        <v>403</v>
      </c>
      <c r="D35" s="48" t="s">
        <v>403</v>
      </c>
      <c r="E35" s="48" t="s">
        <v>403</v>
      </c>
      <c r="F35" s="47" t="s">
        <v>399</v>
      </c>
      <c r="G35" s="47" t="s">
        <v>399</v>
      </c>
      <c r="H35" s="47" t="s">
        <v>399</v>
      </c>
      <c r="I35" s="42" t="s">
        <v>158</v>
      </c>
    </row>
    <row r="36" customFormat="false" ht="12.75" hidden="false" customHeight="true" outlineLevel="0" collapsed="false">
      <c r="A36" s="39" t="s">
        <v>447</v>
      </c>
      <c r="B36" s="46" t="s">
        <v>420</v>
      </c>
      <c r="C36" s="47" t="s">
        <v>399</v>
      </c>
      <c r="D36" s="47" t="s">
        <v>399</v>
      </c>
      <c r="E36" s="47" t="s">
        <v>399</v>
      </c>
      <c r="F36" s="47" t="s">
        <v>399</v>
      </c>
      <c r="G36" s="47" t="s">
        <v>399</v>
      </c>
      <c r="H36" s="47" t="s">
        <v>399</v>
      </c>
      <c r="I36" s="42" t="s">
        <v>448</v>
      </c>
    </row>
    <row r="37" customFormat="false" ht="12.75" hidden="false" customHeight="true" outlineLevel="0" collapsed="false">
      <c r="A37" s="42" t="s">
        <v>449</v>
      </c>
      <c r="B37" s="46" t="s">
        <v>420</v>
      </c>
      <c r="C37" s="47" t="s">
        <v>399</v>
      </c>
      <c r="D37" s="47" t="s">
        <v>401</v>
      </c>
      <c r="E37" s="47" t="s">
        <v>401</v>
      </c>
      <c r="F37" s="47" t="s">
        <v>401</v>
      </c>
      <c r="G37" s="47" t="s">
        <v>401</v>
      </c>
      <c r="H37" s="47" t="s">
        <v>401</v>
      </c>
      <c r="I37" s="42" t="s">
        <v>450</v>
      </c>
    </row>
    <row r="38" customFormat="false" ht="12.75" hidden="false" customHeight="true" outlineLevel="0" collapsed="false">
      <c r="A38" s="42" t="s">
        <v>451</v>
      </c>
      <c r="B38" s="46" t="s">
        <v>420</v>
      </c>
      <c r="C38" s="47" t="s">
        <v>401</v>
      </c>
      <c r="D38" s="47" t="s">
        <v>401</v>
      </c>
      <c r="E38" s="47" t="s">
        <v>401</v>
      </c>
      <c r="F38" s="47" t="s">
        <v>401</v>
      </c>
      <c r="G38" s="47" t="s">
        <v>401</v>
      </c>
      <c r="H38" s="47" t="s">
        <v>401</v>
      </c>
      <c r="I38" s="42" t="s">
        <v>183</v>
      </c>
    </row>
    <row r="39" customFormat="false" ht="12.75" hidden="false" customHeight="true" outlineLevel="0" collapsed="false">
      <c r="A39" s="42" t="s">
        <v>452</v>
      </c>
      <c r="B39" s="46" t="s">
        <v>420</v>
      </c>
      <c r="C39" s="48" t="s">
        <v>403</v>
      </c>
      <c r="D39" s="47" t="s">
        <v>399</v>
      </c>
      <c r="E39" s="47" t="s">
        <v>401</v>
      </c>
      <c r="F39" s="48" t="s">
        <v>403</v>
      </c>
      <c r="G39" s="48" t="s">
        <v>403</v>
      </c>
      <c r="H39" s="47" t="s">
        <v>399</v>
      </c>
      <c r="I39" s="42" t="s">
        <v>453</v>
      </c>
    </row>
    <row r="40" customFormat="false" ht="12.75" hidden="false" customHeight="true" outlineLevel="0" collapsed="false">
      <c r="A40" s="39" t="s">
        <v>454</v>
      </c>
      <c r="B40" s="46" t="s">
        <v>420</v>
      </c>
      <c r="C40" s="47" t="s">
        <v>399</v>
      </c>
      <c r="D40" s="47" t="s">
        <v>399</v>
      </c>
      <c r="E40" s="48" t="s">
        <v>403</v>
      </c>
      <c r="F40" s="48" t="s">
        <v>403</v>
      </c>
      <c r="G40" s="48" t="s">
        <v>403</v>
      </c>
      <c r="H40" s="48" t="s">
        <v>403</v>
      </c>
      <c r="I40" s="42" t="s">
        <v>455</v>
      </c>
    </row>
    <row r="41" customFormat="false" ht="12.75" hidden="false" customHeight="true" outlineLevel="0" collapsed="false">
      <c r="A41" s="39" t="s">
        <v>456</v>
      </c>
      <c r="B41" s="46" t="s">
        <v>420</v>
      </c>
      <c r="C41" s="47" t="s">
        <v>399</v>
      </c>
      <c r="D41" s="47" t="s">
        <v>401</v>
      </c>
      <c r="E41" s="48" t="s">
        <v>403</v>
      </c>
      <c r="F41" s="48" t="s">
        <v>403</v>
      </c>
      <c r="G41" s="48" t="s">
        <v>403</v>
      </c>
      <c r="H41" s="48" t="s">
        <v>403</v>
      </c>
      <c r="I41" s="42" t="s">
        <v>199</v>
      </c>
    </row>
    <row r="42" customFormat="false" ht="12.75" hidden="false" customHeight="true" outlineLevel="0" collapsed="false">
      <c r="A42" s="39" t="s">
        <v>457</v>
      </c>
      <c r="B42" s="46" t="s">
        <v>420</v>
      </c>
      <c r="C42" s="47" t="s">
        <v>399</v>
      </c>
      <c r="D42" s="48" t="s">
        <v>403</v>
      </c>
      <c r="E42" s="48" t="s">
        <v>403</v>
      </c>
      <c r="F42" s="48" t="s">
        <v>403</v>
      </c>
      <c r="G42" s="48" t="s">
        <v>403</v>
      </c>
      <c r="H42" s="48" t="s">
        <v>403</v>
      </c>
      <c r="I42" s="42" t="s">
        <v>203</v>
      </c>
    </row>
    <row r="43" customFormat="false" ht="12.75" hidden="false" customHeight="true" outlineLevel="0" collapsed="false">
      <c r="A43" s="39" t="s">
        <v>458</v>
      </c>
      <c r="B43" s="46" t="s">
        <v>420</v>
      </c>
      <c r="C43" s="47" t="s">
        <v>399</v>
      </c>
      <c r="D43" s="48" t="s">
        <v>403</v>
      </c>
      <c r="E43" s="48" t="s">
        <v>403</v>
      </c>
      <c r="F43" s="48" t="s">
        <v>403</v>
      </c>
      <c r="G43" s="48" t="s">
        <v>403</v>
      </c>
      <c r="H43" s="48" t="s">
        <v>403</v>
      </c>
      <c r="I43" s="42" t="s">
        <v>459</v>
      </c>
    </row>
    <row r="44" customFormat="false" ht="12.75" hidden="false" customHeight="true" outlineLevel="0" collapsed="false">
      <c r="A44" s="39" t="s">
        <v>460</v>
      </c>
      <c r="B44" s="46" t="s">
        <v>420</v>
      </c>
      <c r="C44" s="47" t="s">
        <v>399</v>
      </c>
      <c r="D44" s="47" t="s">
        <v>399</v>
      </c>
      <c r="E44" s="47" t="s">
        <v>399</v>
      </c>
      <c r="F44" s="47" t="s">
        <v>399</v>
      </c>
      <c r="G44" s="47" t="s">
        <v>399</v>
      </c>
      <c r="H44" s="47" t="s">
        <v>399</v>
      </c>
      <c r="I44" s="42" t="s">
        <v>461</v>
      </c>
    </row>
    <row r="46" customFormat="false" ht="15" hidden="false" customHeight="true" outlineLevel="0" collapsed="false">
      <c r="A46" s="36" t="s">
        <v>462</v>
      </c>
      <c r="B46" s="36"/>
      <c r="C46" s="36"/>
      <c r="D46" s="36"/>
      <c r="E46" s="36"/>
      <c r="F46" s="36"/>
      <c r="G46" s="36"/>
      <c r="H46" s="36"/>
      <c r="I46" s="36"/>
    </row>
    <row r="47" customFormat="false" ht="11.25" hidden="false" customHeight="true" outlineLevel="0" collapsed="false">
      <c r="A47" s="37" t="s">
        <v>463</v>
      </c>
      <c r="B47" s="37" t="s">
        <v>20</v>
      </c>
      <c r="C47" s="37" t="s">
        <v>25</v>
      </c>
      <c r="D47" s="37" t="s">
        <v>43</v>
      </c>
      <c r="E47" s="37" t="s">
        <v>464</v>
      </c>
      <c r="F47" s="37" t="s">
        <v>465</v>
      </c>
      <c r="G47" s="37" t="s">
        <v>466</v>
      </c>
      <c r="H47" s="38" t="s">
        <v>418</v>
      </c>
      <c r="I47" s="38"/>
    </row>
    <row r="48" customFormat="false" ht="11.25" hidden="false" customHeight="true" outlineLevel="0" collapsed="false">
      <c r="A48" s="39" t="s">
        <v>467</v>
      </c>
      <c r="B48" s="47" t="s">
        <v>399</v>
      </c>
      <c r="C48" s="47" t="s">
        <v>399</v>
      </c>
      <c r="D48" s="47" t="s">
        <v>399</v>
      </c>
      <c r="E48" s="47" t="s">
        <v>399</v>
      </c>
      <c r="F48" s="47" t="s">
        <v>401</v>
      </c>
      <c r="G48" s="48" t="s">
        <v>403</v>
      </c>
      <c r="H48" s="49" t="s">
        <v>468</v>
      </c>
      <c r="I48" s="49"/>
    </row>
    <row r="49" customFormat="false" ht="11.25" hidden="false" customHeight="true" outlineLevel="0" collapsed="false">
      <c r="A49" s="39" t="s">
        <v>469</v>
      </c>
      <c r="B49" s="47" t="s">
        <v>399</v>
      </c>
      <c r="C49" s="47" t="s">
        <v>399</v>
      </c>
      <c r="D49" s="47" t="s">
        <v>399</v>
      </c>
      <c r="E49" s="47" t="s">
        <v>399</v>
      </c>
      <c r="F49" s="48" t="s">
        <v>403</v>
      </c>
      <c r="G49" s="48" t="s">
        <v>403</v>
      </c>
      <c r="H49" s="49" t="s">
        <v>470</v>
      </c>
      <c r="I49" s="49"/>
    </row>
    <row r="50" customFormat="false" ht="11.25" hidden="false" customHeight="true" outlineLevel="0" collapsed="false">
      <c r="A50" s="39" t="s">
        <v>471</v>
      </c>
      <c r="B50" s="47" t="s">
        <v>399</v>
      </c>
      <c r="C50" s="47" t="s">
        <v>399</v>
      </c>
      <c r="D50" s="47" t="s">
        <v>401</v>
      </c>
      <c r="E50" s="47" t="s">
        <v>399</v>
      </c>
      <c r="F50" s="47" t="s">
        <v>401</v>
      </c>
      <c r="G50" s="48" t="s">
        <v>403</v>
      </c>
      <c r="H50" s="49" t="s">
        <v>472</v>
      </c>
      <c r="I50" s="49"/>
    </row>
    <row r="51" customFormat="false" ht="11.25" hidden="false" customHeight="true" outlineLevel="0" collapsed="false">
      <c r="A51" s="42" t="s">
        <v>473</v>
      </c>
      <c r="B51" s="47" t="s">
        <v>399</v>
      </c>
      <c r="C51" s="47" t="s">
        <v>401</v>
      </c>
      <c r="D51" s="48" t="s">
        <v>403</v>
      </c>
      <c r="E51" s="48" t="s">
        <v>403</v>
      </c>
      <c r="F51" s="47" t="s">
        <v>399</v>
      </c>
      <c r="G51" s="47" t="s">
        <v>399</v>
      </c>
      <c r="H51" s="49" t="s">
        <v>474</v>
      </c>
      <c r="I51" s="49"/>
    </row>
    <row r="52" customFormat="false" ht="11.25" hidden="false" customHeight="true" outlineLevel="0" collapsed="false">
      <c r="A52" s="39" t="s">
        <v>475</v>
      </c>
      <c r="B52" s="47" t="s">
        <v>399</v>
      </c>
      <c r="C52" s="47" t="s">
        <v>401</v>
      </c>
      <c r="D52" s="48" t="s">
        <v>403</v>
      </c>
      <c r="E52" s="47" t="s">
        <v>399</v>
      </c>
      <c r="F52" s="47" t="s">
        <v>399</v>
      </c>
      <c r="G52" s="47" t="s">
        <v>401</v>
      </c>
      <c r="H52" s="49" t="s">
        <v>476</v>
      </c>
      <c r="I52" s="49"/>
    </row>
    <row r="53" s="1" customFormat="true" ht="11.25" hidden="false" customHeight="true" outlineLevel="0" collapsed="false">
      <c r="C53" s="7"/>
    </row>
    <row r="54" customFormat="false" ht="15" hidden="false" customHeight="true" outlineLevel="0" collapsed="false">
      <c r="A54" s="36" t="s">
        <v>477</v>
      </c>
      <c r="B54" s="36"/>
      <c r="C54" s="36"/>
      <c r="D54" s="36"/>
      <c r="E54" s="36"/>
      <c r="F54" s="36"/>
      <c r="G54" s="36"/>
      <c r="H54" s="36"/>
      <c r="I54" s="36"/>
      <c r="J54" s="36"/>
    </row>
    <row r="55" customFormat="false" ht="11.25" hidden="false" customHeight="true" outlineLevel="0" collapsed="false">
      <c r="A55" s="37" t="s">
        <v>463</v>
      </c>
      <c r="B55" s="45" t="s">
        <v>478</v>
      </c>
      <c r="C55" s="37" t="s">
        <v>479</v>
      </c>
      <c r="D55" s="37" t="s">
        <v>480</v>
      </c>
      <c r="E55" s="45" t="s">
        <v>481</v>
      </c>
      <c r="F55" s="45" t="s">
        <v>482</v>
      </c>
      <c r="G55" s="45" t="s">
        <v>483</v>
      </c>
      <c r="H55" s="45" t="s">
        <v>484</v>
      </c>
      <c r="I55" s="37" t="s">
        <v>418</v>
      </c>
    </row>
    <row r="56" customFormat="false" ht="11.25" hidden="false" customHeight="true" outlineLevel="0" collapsed="false">
      <c r="A56" s="39" t="s">
        <v>485</v>
      </c>
      <c r="B56" s="47" t="s">
        <v>399</v>
      </c>
      <c r="C56" s="47" t="s">
        <v>401</v>
      </c>
      <c r="D56" s="48" t="s">
        <v>403</v>
      </c>
      <c r="E56" s="48" t="s">
        <v>403</v>
      </c>
      <c r="F56" s="48" t="s">
        <v>403</v>
      </c>
      <c r="G56" s="48" t="s">
        <v>403</v>
      </c>
      <c r="H56" s="48" t="s">
        <v>403</v>
      </c>
      <c r="I56" s="42" t="s">
        <v>486</v>
      </c>
    </row>
    <row r="57" customFormat="false" ht="11.25" hidden="false" customHeight="true" outlineLevel="0" collapsed="false">
      <c r="A57" s="39" t="s">
        <v>487</v>
      </c>
      <c r="B57" s="47" t="s">
        <v>399</v>
      </c>
      <c r="C57" s="47" t="s">
        <v>401</v>
      </c>
      <c r="D57" s="48" t="s">
        <v>403</v>
      </c>
      <c r="E57" s="48" t="s">
        <v>403</v>
      </c>
      <c r="F57" s="48" t="s">
        <v>403</v>
      </c>
      <c r="G57" s="48" t="s">
        <v>403</v>
      </c>
      <c r="H57" s="48" t="s">
        <v>403</v>
      </c>
      <c r="I57" s="42" t="s">
        <v>470</v>
      </c>
    </row>
    <row r="58" customFormat="false" ht="11.25" hidden="false" customHeight="true" outlineLevel="0" collapsed="false">
      <c r="A58" s="39" t="s">
        <v>488</v>
      </c>
      <c r="B58" s="47" t="s">
        <v>399</v>
      </c>
      <c r="C58" s="47" t="s">
        <v>401</v>
      </c>
      <c r="D58" s="47" t="s">
        <v>401</v>
      </c>
      <c r="E58" s="48" t="s">
        <v>403</v>
      </c>
      <c r="F58" s="48" t="s">
        <v>403</v>
      </c>
      <c r="G58" s="47" t="s">
        <v>401</v>
      </c>
      <c r="H58" s="48" t="s">
        <v>403</v>
      </c>
      <c r="I58" s="42" t="s">
        <v>472</v>
      </c>
    </row>
    <row r="59" customFormat="false" ht="11.25" hidden="false" customHeight="true" outlineLevel="0" collapsed="false">
      <c r="A59" s="42" t="s">
        <v>438</v>
      </c>
      <c r="B59" s="47" t="s">
        <v>399</v>
      </c>
      <c r="C59" s="47" t="s">
        <v>399</v>
      </c>
      <c r="D59" s="48" t="s">
        <v>403</v>
      </c>
      <c r="E59" s="48" t="s">
        <v>403</v>
      </c>
      <c r="F59" s="48" t="s">
        <v>403</v>
      </c>
      <c r="G59" s="48" t="s">
        <v>403</v>
      </c>
      <c r="H59" s="47" t="s">
        <v>399</v>
      </c>
      <c r="I59" s="42" t="s">
        <v>439</v>
      </c>
    </row>
    <row r="60" customFormat="false" ht="11.25" hidden="false" customHeight="true" outlineLevel="0" collapsed="false">
      <c r="A60" s="39" t="s">
        <v>440</v>
      </c>
      <c r="B60" s="47" t="s">
        <v>399</v>
      </c>
      <c r="C60" s="47" t="s">
        <v>399</v>
      </c>
      <c r="D60" s="48" t="s">
        <v>403</v>
      </c>
      <c r="E60" s="48" t="s">
        <v>403</v>
      </c>
      <c r="F60" s="48" t="s">
        <v>403</v>
      </c>
      <c r="G60" s="48" t="s">
        <v>403</v>
      </c>
      <c r="H60" s="47" t="s">
        <v>399</v>
      </c>
      <c r="I60" s="42" t="s">
        <v>441</v>
      </c>
    </row>
    <row r="61" customFormat="false" ht="11.25" hidden="false" customHeight="true" outlineLevel="0" collapsed="false">
      <c r="A61" s="39" t="s">
        <v>489</v>
      </c>
      <c r="B61" s="47" t="s">
        <v>399</v>
      </c>
      <c r="C61" s="47" t="s">
        <v>401</v>
      </c>
      <c r="D61" s="47" t="s">
        <v>399</v>
      </c>
      <c r="E61" s="48" t="s">
        <v>403</v>
      </c>
      <c r="F61" s="48" t="s">
        <v>403</v>
      </c>
      <c r="G61" s="48" t="s">
        <v>403</v>
      </c>
      <c r="H61" s="48" t="s">
        <v>403</v>
      </c>
      <c r="I61" s="42" t="s">
        <v>490</v>
      </c>
    </row>
    <row r="62" customFormat="false" ht="11.25" hidden="false" customHeight="true" outlineLevel="0" collapsed="false">
      <c r="A62" s="42" t="s">
        <v>491</v>
      </c>
      <c r="B62" s="47" t="s">
        <v>399</v>
      </c>
      <c r="C62" s="47" t="s">
        <v>399</v>
      </c>
      <c r="D62" s="48" t="s">
        <v>403</v>
      </c>
      <c r="E62" s="47" t="s">
        <v>399</v>
      </c>
      <c r="F62" s="48" t="s">
        <v>403</v>
      </c>
      <c r="G62" s="48" t="s">
        <v>403</v>
      </c>
      <c r="H62" s="47" t="s">
        <v>399</v>
      </c>
      <c r="I62" s="42" t="s">
        <v>450</v>
      </c>
    </row>
    <row r="63" customFormat="false" ht="11.25" hidden="false" customHeight="true" outlineLevel="0" collapsed="false">
      <c r="A63" s="42" t="s">
        <v>492</v>
      </c>
      <c r="B63" s="47" t="s">
        <v>399</v>
      </c>
      <c r="C63" s="47" t="s">
        <v>401</v>
      </c>
      <c r="D63" s="48" t="s">
        <v>403</v>
      </c>
      <c r="E63" s="48" t="s">
        <v>403</v>
      </c>
      <c r="F63" s="47" t="s">
        <v>399</v>
      </c>
      <c r="G63" s="48" t="s">
        <v>403</v>
      </c>
      <c r="H63" s="47" t="s">
        <v>401</v>
      </c>
      <c r="I63" s="42" t="s">
        <v>183</v>
      </c>
    </row>
    <row r="64" customFormat="false" ht="11.25" hidden="false" customHeight="true" outlineLevel="0" collapsed="false">
      <c r="A64" s="42" t="s">
        <v>493</v>
      </c>
      <c r="B64" s="47" t="s">
        <v>399</v>
      </c>
      <c r="C64" s="47" t="s">
        <v>401</v>
      </c>
      <c r="D64" s="47" t="s">
        <v>401</v>
      </c>
      <c r="E64" s="48" t="s">
        <v>403</v>
      </c>
      <c r="F64" s="48" t="s">
        <v>403</v>
      </c>
      <c r="G64" s="47" t="s">
        <v>399</v>
      </c>
      <c r="H64" s="47" t="s">
        <v>401</v>
      </c>
      <c r="I64" s="42" t="s">
        <v>453</v>
      </c>
    </row>
    <row r="65" customFormat="false" ht="11.25" hidden="false" customHeight="true" outlineLevel="0" collapsed="false">
      <c r="A65" s="39" t="s">
        <v>494</v>
      </c>
      <c r="B65" s="47" t="s">
        <v>399</v>
      </c>
      <c r="C65" s="47" t="s">
        <v>401</v>
      </c>
      <c r="D65" s="47" t="s">
        <v>399</v>
      </c>
      <c r="E65" s="47" t="s">
        <v>399</v>
      </c>
      <c r="F65" s="48" t="s">
        <v>403</v>
      </c>
      <c r="G65" s="48" t="s">
        <v>403</v>
      </c>
      <c r="H65" s="48" t="s">
        <v>403</v>
      </c>
      <c r="I65" s="42" t="s">
        <v>495</v>
      </c>
    </row>
    <row r="66" customFormat="false" ht="11.25" hidden="false" customHeight="true" outlineLevel="0" collapsed="false"/>
    <row r="67" customFormat="false" ht="15" hidden="false" customHeight="true" outlineLevel="0" collapsed="false">
      <c r="A67" s="36" t="s">
        <v>496</v>
      </c>
      <c r="B67" s="36"/>
      <c r="C67" s="36"/>
      <c r="D67" s="36"/>
      <c r="E67" s="36"/>
    </row>
    <row r="68" customFormat="false" ht="11.25" hidden="false" customHeight="true" outlineLevel="0" collapsed="false">
      <c r="A68" s="37" t="s">
        <v>497</v>
      </c>
      <c r="B68" s="37" t="s">
        <v>498</v>
      </c>
      <c r="C68" s="50" t="s">
        <v>499</v>
      </c>
      <c r="D68" s="38" t="s">
        <v>418</v>
      </c>
      <c r="E68" s="38"/>
    </row>
    <row r="69" customFormat="false" ht="17.25" hidden="false" customHeight="true" outlineLevel="0" collapsed="false">
      <c r="A69" s="42" t="s">
        <v>411</v>
      </c>
      <c r="B69" s="47" t="s">
        <v>500</v>
      </c>
      <c r="C69" s="51" t="s">
        <v>501</v>
      </c>
      <c r="D69" s="52" t="s">
        <v>502</v>
      </c>
      <c r="E69" s="52"/>
    </row>
    <row r="70" customFormat="false" ht="17.25" hidden="false" customHeight="true" outlineLevel="0" collapsed="false">
      <c r="A70" s="42" t="s">
        <v>412</v>
      </c>
      <c r="B70" s="47" t="s">
        <v>500</v>
      </c>
      <c r="C70" s="51" t="s">
        <v>501</v>
      </c>
      <c r="D70" s="52" t="s">
        <v>502</v>
      </c>
      <c r="E70" s="52"/>
    </row>
    <row r="71" customFormat="false" ht="16.5" hidden="false" customHeight="true" outlineLevel="0" collapsed="false">
      <c r="A71" s="42" t="s">
        <v>413</v>
      </c>
      <c r="B71" s="47" t="s">
        <v>503</v>
      </c>
      <c r="C71" s="53" t="s">
        <v>504</v>
      </c>
      <c r="D71" s="52" t="s">
        <v>505</v>
      </c>
      <c r="E71" s="52"/>
    </row>
    <row r="72" customFormat="false" ht="24" hidden="false" customHeight="true" outlineLevel="0" collapsed="false">
      <c r="A72" s="42" t="s">
        <v>414</v>
      </c>
      <c r="B72" s="47" t="s">
        <v>506</v>
      </c>
      <c r="C72" s="53" t="s">
        <v>507</v>
      </c>
      <c r="D72" s="52" t="s">
        <v>508</v>
      </c>
      <c r="E72" s="52"/>
    </row>
    <row r="73" customFormat="false" ht="25.5" hidden="false" customHeight="true" outlineLevel="0" collapsed="false">
      <c r="A73" s="42" t="s">
        <v>415</v>
      </c>
      <c r="B73" s="47" t="s">
        <v>509</v>
      </c>
      <c r="C73" s="51" t="s">
        <v>510</v>
      </c>
      <c r="D73" s="52" t="s">
        <v>511</v>
      </c>
      <c r="E73" s="52"/>
    </row>
    <row r="74" customFormat="false" ht="17.25" hidden="false" customHeight="true" outlineLevel="0" collapsed="false">
      <c r="A74" s="42" t="s">
        <v>416</v>
      </c>
      <c r="B74" s="47" t="s">
        <v>512</v>
      </c>
      <c r="C74" s="53" t="s">
        <v>513</v>
      </c>
      <c r="D74" s="52" t="s">
        <v>514</v>
      </c>
      <c r="E74" s="52"/>
    </row>
    <row r="75" customFormat="false" ht="17.25" hidden="false" customHeight="true" outlineLevel="0" collapsed="false">
      <c r="A75" s="42" t="s">
        <v>417</v>
      </c>
      <c r="B75" s="47" t="s">
        <v>515</v>
      </c>
      <c r="C75" s="53" t="s">
        <v>516</v>
      </c>
      <c r="D75" s="52" t="s">
        <v>517</v>
      </c>
      <c r="E75" s="52"/>
    </row>
    <row r="77" customFormat="false" ht="15" hidden="false" customHeight="true" outlineLevel="0" collapsed="false">
      <c r="A77" s="36" t="s">
        <v>518</v>
      </c>
      <c r="B77" s="36"/>
      <c r="C77" s="36"/>
      <c r="D77" s="36"/>
    </row>
    <row r="78" customFormat="false" ht="11.25" hidden="false" customHeight="true" outlineLevel="0" collapsed="false">
      <c r="A78" s="37" t="s">
        <v>519</v>
      </c>
      <c r="B78" s="37" t="s">
        <v>520</v>
      </c>
      <c r="C78" s="54" t="s">
        <v>521</v>
      </c>
      <c r="D78" s="54"/>
    </row>
    <row r="79" customFormat="false" ht="11.25" hidden="false" customHeight="true" outlineLevel="0" collapsed="false">
      <c r="A79" s="55" t="s">
        <v>522</v>
      </c>
      <c r="B79" s="47" t="s">
        <v>523</v>
      </c>
      <c r="C79" s="40" t="s">
        <v>524</v>
      </c>
      <c r="D79" s="40"/>
    </row>
    <row r="80" customFormat="false" ht="18.75" hidden="false" customHeight="true" outlineLevel="0" collapsed="false">
      <c r="A80" s="55" t="s">
        <v>525</v>
      </c>
      <c r="B80" s="47" t="s">
        <v>526</v>
      </c>
      <c r="C80" s="52" t="s">
        <v>527</v>
      </c>
      <c r="D80" s="52"/>
    </row>
    <row r="81" customFormat="false" ht="11.25" hidden="false" customHeight="true" outlineLevel="0" collapsed="false">
      <c r="A81" s="55" t="s">
        <v>528</v>
      </c>
      <c r="B81" s="48" t="s">
        <v>529</v>
      </c>
      <c r="C81" s="52" t="s">
        <v>530</v>
      </c>
      <c r="D81" s="52"/>
    </row>
    <row r="82" customFormat="false" ht="21" hidden="false" customHeight="true" outlineLevel="0" collapsed="false">
      <c r="A82" s="55" t="s">
        <v>531</v>
      </c>
      <c r="B82" s="48" t="s">
        <v>532</v>
      </c>
      <c r="C82" s="40" t="s">
        <v>533</v>
      </c>
      <c r="D82" s="40"/>
    </row>
    <row r="83" customFormat="false" ht="11.25" hidden="false" customHeight="true" outlineLevel="0" collapsed="false">
      <c r="A83" s="55" t="s">
        <v>534</v>
      </c>
      <c r="B83" s="47" t="s">
        <v>535</v>
      </c>
      <c r="C83" s="40" t="s">
        <v>536</v>
      </c>
      <c r="D83" s="40"/>
    </row>
    <row r="84" customFormat="false" ht="11.25" hidden="false" customHeight="true" outlineLevel="0" collapsed="false"/>
    <row r="85" customFormat="false" ht="15" hidden="false" customHeight="true" outlineLevel="0" collapsed="false">
      <c r="A85" s="36" t="s">
        <v>537</v>
      </c>
      <c r="B85" s="36"/>
      <c r="C85" s="36"/>
    </row>
    <row r="86" customFormat="false" ht="11.25" hidden="false" customHeight="true" outlineLevel="0" collapsed="false">
      <c r="A86" s="37" t="s">
        <v>538</v>
      </c>
      <c r="B86" s="38" t="s">
        <v>389</v>
      </c>
      <c r="C86" s="38"/>
    </row>
    <row r="87" customFormat="false" ht="13.5" hidden="false" customHeight="true" outlineLevel="0" collapsed="false">
      <c r="A87" s="42" t="s">
        <v>539</v>
      </c>
      <c r="B87" s="40" t="s">
        <v>540</v>
      </c>
      <c r="C87" s="40"/>
    </row>
    <row r="88" customFormat="false" ht="13.5" hidden="false" customHeight="true" outlineLevel="0" collapsed="false">
      <c r="A88" s="42" t="s">
        <v>541</v>
      </c>
      <c r="B88" s="40" t="s">
        <v>542</v>
      </c>
      <c r="C88" s="40"/>
    </row>
    <row r="89" customFormat="false" ht="13.5" hidden="false" customHeight="true" outlineLevel="0" collapsed="false">
      <c r="A89" s="42" t="s">
        <v>543</v>
      </c>
      <c r="B89" s="40" t="s">
        <v>544</v>
      </c>
      <c r="C89" s="40"/>
    </row>
    <row r="90" customFormat="false" ht="13.5" hidden="false" customHeight="true" outlineLevel="0" collapsed="false">
      <c r="A90" s="42" t="s">
        <v>545</v>
      </c>
      <c r="B90" s="52" t="s">
        <v>546</v>
      </c>
      <c r="C90" s="52"/>
    </row>
    <row r="91" customFormat="false" ht="13.5" hidden="false" customHeight="true" outlineLevel="0" collapsed="false">
      <c r="A91" s="42" t="s">
        <v>547</v>
      </c>
      <c r="B91" s="40" t="s">
        <v>548</v>
      </c>
      <c r="C91" s="40"/>
    </row>
    <row r="92" customFormat="false" ht="13.5" hidden="false" customHeight="true" outlineLevel="0" collapsed="false">
      <c r="A92" s="42" t="s">
        <v>549</v>
      </c>
      <c r="B92" s="56" t="s">
        <v>550</v>
      </c>
      <c r="C92" s="56"/>
    </row>
    <row r="94" customFormat="false" ht="15" hidden="false" customHeight="true" outlineLevel="0" collapsed="false">
      <c r="A94" s="36" t="s">
        <v>551</v>
      </c>
      <c r="B94" s="36"/>
      <c r="C94" s="36"/>
    </row>
    <row r="95" customFormat="false" ht="11.25" hidden="false" customHeight="true" outlineLevel="0" collapsed="false">
      <c r="A95" s="37" t="s">
        <v>366</v>
      </c>
      <c r="B95" s="38" t="s">
        <v>389</v>
      </c>
      <c r="C95" s="38"/>
    </row>
    <row r="96" customFormat="false" ht="28.5" hidden="false" customHeight="true" outlineLevel="0" collapsed="false">
      <c r="A96" s="57" t="s">
        <v>552</v>
      </c>
      <c r="B96" s="40" t="s">
        <v>553</v>
      </c>
      <c r="C96" s="40"/>
    </row>
    <row r="97" customFormat="false" ht="27" hidden="false" customHeight="true" outlineLevel="0" collapsed="false">
      <c r="A97" s="57" t="s">
        <v>554</v>
      </c>
      <c r="B97" s="40" t="s">
        <v>555</v>
      </c>
      <c r="C97" s="40"/>
    </row>
    <row r="98" customFormat="false" ht="27.75" hidden="false" customHeight="true" outlineLevel="0" collapsed="false">
      <c r="A98" s="57" t="s">
        <v>556</v>
      </c>
      <c r="B98" s="40" t="s">
        <v>557</v>
      </c>
      <c r="C98" s="40"/>
    </row>
  </sheetData>
  <mergeCells count="47">
    <mergeCell ref="A1:J1"/>
    <mergeCell ref="A2:J2"/>
    <mergeCell ref="A3:J3"/>
    <mergeCell ref="A5:C5"/>
    <mergeCell ref="B6:C6"/>
    <mergeCell ref="B7:C7"/>
    <mergeCell ref="B8:C8"/>
    <mergeCell ref="B9:C9"/>
    <mergeCell ref="A11:C11"/>
    <mergeCell ref="A20:I20"/>
    <mergeCell ref="A46:I46"/>
    <mergeCell ref="H47:I47"/>
    <mergeCell ref="H48:I48"/>
    <mergeCell ref="H49:I49"/>
    <mergeCell ref="H50:I50"/>
    <mergeCell ref="H51:I51"/>
    <mergeCell ref="H52:I52"/>
    <mergeCell ref="A54:J54"/>
    <mergeCell ref="A67:E67"/>
    <mergeCell ref="D68:E68"/>
    <mergeCell ref="D69:E69"/>
    <mergeCell ref="D70:E70"/>
    <mergeCell ref="D71:E71"/>
    <mergeCell ref="D72:E72"/>
    <mergeCell ref="D73:E73"/>
    <mergeCell ref="D74:E74"/>
    <mergeCell ref="D75:E75"/>
    <mergeCell ref="A77:D77"/>
    <mergeCell ref="C78:D78"/>
    <mergeCell ref="C79:D79"/>
    <mergeCell ref="C80:D80"/>
    <mergeCell ref="C81:D81"/>
    <mergeCell ref="C82:D82"/>
    <mergeCell ref="C83:D83"/>
    <mergeCell ref="A85:C85"/>
    <mergeCell ref="B86:C86"/>
    <mergeCell ref="B87:C87"/>
    <mergeCell ref="B88:C88"/>
    <mergeCell ref="B89:C89"/>
    <mergeCell ref="B90:C90"/>
    <mergeCell ref="B91:C91"/>
    <mergeCell ref="B92:C92"/>
    <mergeCell ref="A94:C94"/>
    <mergeCell ref="B95:C95"/>
    <mergeCell ref="B96:C96"/>
    <mergeCell ref="B97:C97"/>
    <mergeCell ref="B98:C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ColWidth="8.4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24" hidden="false" customHeight="true" outlineLevel="0" collapsed="false">
      <c r="A1" s="34" t="s">
        <v>558</v>
      </c>
      <c r="B1" s="34"/>
      <c r="D1" s="58" t="s">
        <v>365</v>
      </c>
      <c r="E1" s="58" t="s">
        <v>559</v>
      </c>
    </row>
    <row r="2" customFormat="false" ht="18" hidden="false" customHeight="true" outlineLevel="0" collapsed="false">
      <c r="A2" s="35" t="s">
        <v>560</v>
      </c>
      <c r="B2" s="35"/>
      <c r="D2" s="59" t="s">
        <v>561</v>
      </c>
      <c r="E2" s="60" t="n">
        <f aca="false">IF(B5=0,0,B6/B5)</f>
        <v>0.927272727272727</v>
      </c>
    </row>
    <row r="3" customFormat="false" ht="15" hidden="false" customHeight="false" outlineLevel="0" collapsed="false">
      <c r="D3" s="59" t="s">
        <v>562</v>
      </c>
      <c r="E3" s="60" t="n">
        <f aca="false">IF(B12=0,0,B13/B12)</f>
        <v>0.904761904761905</v>
      </c>
    </row>
    <row r="4" customFormat="false" ht="18" hidden="false" customHeight="true" outlineLevel="0" collapsed="false">
      <c r="A4" s="36" t="s">
        <v>561</v>
      </c>
      <c r="B4" s="36"/>
      <c r="D4" s="59" t="s">
        <v>563</v>
      </c>
      <c r="E4" s="60" t="n">
        <f aca="false">IF(B19=0,0,B20/B19)</f>
        <v>0.913669064748201</v>
      </c>
    </row>
    <row r="5" customFormat="false" ht="15" hidden="false" customHeight="false" outlineLevel="0" collapsed="false">
      <c r="A5" s="37" t="s">
        <v>564</v>
      </c>
      <c r="B5" s="38" t="n">
        <f aca="false">COUNTA(テストケース一覧!A2:A56)</f>
        <v>55</v>
      </c>
    </row>
    <row r="6" customFormat="false" ht="15" hidden="false" customHeight="false" outlineLevel="0" collapsed="false">
      <c r="A6" s="37" t="s">
        <v>23</v>
      </c>
      <c r="B6" s="38" t="n">
        <f aca="false">COUNTIF(テストケース一覧!F2:F56,"OK")</f>
        <v>51</v>
      </c>
    </row>
    <row r="7" customFormat="false" ht="15" hidden="false" customHeight="false" outlineLevel="0" collapsed="false">
      <c r="A7" s="37" t="s">
        <v>406</v>
      </c>
      <c r="B7" s="38" t="n">
        <f aca="false">COUNTIF(テストケース一覧!F2:F56,"NG")</f>
        <v>0</v>
      </c>
    </row>
    <row r="8" customFormat="false" ht="15" hidden="false" customHeight="false" outlineLevel="0" collapsed="false">
      <c r="A8" s="37" t="s">
        <v>565</v>
      </c>
      <c r="B8" s="38" t="n">
        <f aca="false">COUNTIF(テストケース一覧!F2:F56,"SK*")</f>
        <v>4</v>
      </c>
    </row>
    <row r="9" customFormat="false" ht="15" hidden="false" customHeight="false" outlineLevel="0" collapsed="false">
      <c r="A9" s="37" t="s">
        <v>559</v>
      </c>
      <c r="B9" s="38" t="str">
        <f aca="false">TEXT(IF(B5=0,0,B6/B5),"0.0%")</f>
        <v>92.7%</v>
      </c>
    </row>
    <row r="11" customFormat="false" ht="18" hidden="false" customHeight="true" outlineLevel="0" collapsed="false">
      <c r="A11" s="36" t="s">
        <v>562</v>
      </c>
      <c r="B11" s="36"/>
    </row>
    <row r="12" customFormat="false" ht="15" hidden="false" customHeight="false" outlineLevel="0" collapsed="false">
      <c r="A12" s="37" t="s">
        <v>564</v>
      </c>
      <c r="B12" s="38" t="n">
        <f aca="false">COUNTA(機能別テスト項目!G2:G85)</f>
        <v>84</v>
      </c>
    </row>
    <row r="13" customFormat="false" ht="15" hidden="false" customHeight="false" outlineLevel="0" collapsed="false">
      <c r="A13" s="37" t="s">
        <v>23</v>
      </c>
      <c r="B13" s="38" t="n">
        <f aca="false">COUNTIF(機能別テスト項目!G2:G85,"OK")</f>
        <v>76</v>
      </c>
    </row>
    <row r="14" customFormat="false" ht="15" hidden="false" customHeight="false" outlineLevel="0" collapsed="false">
      <c r="A14" s="37" t="s">
        <v>406</v>
      </c>
      <c r="B14" s="38" t="n">
        <f aca="false">COUNTIF(機能別テスト項目!G2:G85,"NG")</f>
        <v>0</v>
      </c>
    </row>
    <row r="15" customFormat="false" ht="15" hidden="false" customHeight="false" outlineLevel="0" collapsed="false">
      <c r="A15" s="37" t="s">
        <v>565</v>
      </c>
      <c r="B15" s="38" t="n">
        <f aca="false">COUNTIF(機能別テスト項目!G2:G85,"SK*")</f>
        <v>8</v>
      </c>
    </row>
    <row r="16" customFormat="false" ht="15" hidden="false" customHeight="false" outlineLevel="0" collapsed="false">
      <c r="A16" s="37" t="s">
        <v>559</v>
      </c>
      <c r="B16" s="38" t="str">
        <f aca="false">TEXT(IF(B12=0,0,B13/B12),"0.0%")</f>
        <v>90.5%</v>
      </c>
    </row>
    <row r="18" customFormat="false" ht="18" hidden="false" customHeight="true" outlineLevel="0" collapsed="false">
      <c r="A18" s="36" t="s">
        <v>563</v>
      </c>
      <c r="B18" s="36"/>
    </row>
    <row r="19" customFormat="false" ht="15" hidden="false" customHeight="false" outlineLevel="0" collapsed="false">
      <c r="A19" s="37" t="s">
        <v>564</v>
      </c>
      <c r="B19" s="38" t="n">
        <f aca="false">B5+B12</f>
        <v>139</v>
      </c>
    </row>
    <row r="20" customFormat="false" ht="15" hidden="false" customHeight="false" outlineLevel="0" collapsed="false">
      <c r="A20" s="37" t="s">
        <v>23</v>
      </c>
      <c r="B20" s="38" t="n">
        <f aca="false">B6+B13</f>
        <v>127</v>
      </c>
    </row>
    <row r="21" customFormat="false" ht="15" hidden="false" customHeight="false" outlineLevel="0" collapsed="false">
      <c r="A21" s="37" t="s">
        <v>406</v>
      </c>
      <c r="B21" s="38" t="n">
        <f aca="false">B7+B14</f>
        <v>0</v>
      </c>
    </row>
    <row r="22" customFormat="false" ht="15" hidden="false" customHeight="false" outlineLevel="0" collapsed="false">
      <c r="A22" s="37" t="s">
        <v>565</v>
      </c>
      <c r="B22" s="38" t="n">
        <f aca="false">B8+B15</f>
        <v>12</v>
      </c>
    </row>
    <row r="23" customFormat="false" ht="15" hidden="false" customHeight="false" outlineLevel="0" collapsed="false">
      <c r="A23" s="37" t="s">
        <v>559</v>
      </c>
      <c r="B23" s="38" t="str">
        <f aca="false">TEXT(IF(B19=0,0,B20/B19),"0.0%")</f>
        <v>91.4%</v>
      </c>
    </row>
  </sheetData>
  <mergeCells count="5">
    <mergeCell ref="A1:B1"/>
    <mergeCell ref="A2:B2"/>
    <mergeCell ref="A4:B4"/>
    <mergeCell ref="A11:B11"/>
    <mergeCell ref="A18:B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2026-06-17T05:21:23Z</dcterms:created>
  <dc:creator>openpyxl</dc:creator>
  <dc:description/>
  <dc:language>ja-JP</dc:language>
  <cp:lastModifiedBy/>
  <dcterms:modified xsi:type="dcterms:W3CDTF">2026-06-17T14:31:37Z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